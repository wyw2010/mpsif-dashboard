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4"/>
    <sheet state="visible" name="Weekly Return From Factor ETFs" sheetId="2" r:id="rId5"/>
    <sheet state="visible" name="&gt;&gt;&gt;" sheetId="3" r:id="rId6"/>
    <sheet state="visible" name="Backup" sheetId="4" r:id="rId7"/>
    <sheet state="visible" name="Portfolio Positions" sheetId="5" r:id="rId8"/>
    <sheet state="visible" name="Betas" sheetId="6" r:id="rId9"/>
    <sheet state="visible" name="Subsector" sheetId="7" r:id="rId10"/>
  </sheets>
  <definedNames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45892.7620717593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hidden="1" localSheetId="3" name="_xlnm._FilterDatabase">Backup!$A$2:$H$67</definedName>
    <definedName hidden="1" localSheetId="6" name="_xlnm._FilterDatabase">Subsector!$A$1:$F$76</definedName>
  </definedNames>
  <calcPr/>
  <extLst>
    <ext uri="GoogleSheetsCustomDataVersion2">
      <go:sheetsCustomData xmlns:go="http://customooxmlschemas.google.com/" r:id="rId11" roundtripDataChecksum="SvPrL1hgo8R/wkFXtxBht6e3FaT1dkxFoJM4KBWOryM="/>
    </ext>
  </extLst>
</workbook>
</file>

<file path=xl/sharedStrings.xml><?xml version="1.0" encoding="utf-8"?>
<sst xmlns="http://schemas.openxmlformats.org/spreadsheetml/2006/main" count="559" uniqueCount="148">
  <si>
    <t>S&amp;P 500</t>
  </si>
  <si>
    <t>Value</t>
  </si>
  <si>
    <t>Momentum</t>
  </si>
  <si>
    <t xml:space="preserve">Growth </t>
  </si>
  <si>
    <t>Weekly return</t>
  </si>
  <si>
    <t>x</t>
  </si>
  <si>
    <t>Portfolio Level</t>
  </si>
  <si>
    <t>Absolute Return</t>
  </si>
  <si>
    <t>Total Return</t>
  </si>
  <si>
    <t>Beta</t>
  </si>
  <si>
    <t>Growth</t>
  </si>
  <si>
    <t>Thematic Fund</t>
  </si>
  <si>
    <t xml:space="preserve">Factor Return </t>
  </si>
  <si>
    <t>Imputed Thematic Return</t>
  </si>
  <si>
    <t>Idiosyncratic return (alpha)</t>
  </si>
  <si>
    <t>Excess Return</t>
  </si>
  <si>
    <t>As of 2/25</t>
  </si>
  <si>
    <t>Week-ago Close (2/18)</t>
  </si>
  <si>
    <t>Current Close (2/25)</t>
  </si>
  <si>
    <t>Weekly Return</t>
  </si>
  <si>
    <t>IRR</t>
  </si>
  <si>
    <t xml:space="preserve">S&amp;P 500 </t>
  </si>
  <si>
    <t>iShares S&amp;P 500 Value ETF (IVE)</t>
  </si>
  <si>
    <t>iShares MSCI USA Momentum Factor ETF (MTUM)</t>
  </si>
  <si>
    <t>Fund absolute return</t>
  </si>
  <si>
    <t>Fund excess return</t>
  </si>
  <si>
    <t>beginning of buying, beginning of this sem</t>
  </si>
  <si>
    <t>irr</t>
  </si>
  <si>
    <t>Account Name</t>
  </si>
  <si>
    <t>Symbol</t>
  </si>
  <si>
    <t>Sector</t>
  </si>
  <si>
    <t>Current Value</t>
  </si>
  <si>
    <t>Weights (Portfolio)</t>
  </si>
  <si>
    <t>Weights (Sub Fund)</t>
  </si>
  <si>
    <t>beta_market</t>
  </si>
  <si>
    <t>beta_value</t>
  </si>
  <si>
    <t>beta_momentum</t>
  </si>
  <si>
    <t>beta_growth</t>
  </si>
  <si>
    <t>Total</t>
  </si>
  <si>
    <t>Corporation</t>
  </si>
  <si>
    <t>SPY</t>
  </si>
  <si>
    <t>ABBV</t>
  </si>
  <si>
    <t>AdTech</t>
  </si>
  <si>
    <t>ABNB</t>
  </si>
  <si>
    <t>AI-Industrial</t>
  </si>
  <si>
    <t>ABT</t>
  </si>
  <si>
    <t>Digital Infra</t>
  </si>
  <si>
    <t>ADUS</t>
  </si>
  <si>
    <t>Experientials</t>
  </si>
  <si>
    <t>ALRM</t>
  </si>
  <si>
    <t>Nuclear</t>
  </si>
  <si>
    <t>AMGN</t>
  </si>
  <si>
    <t>Payments</t>
  </si>
  <si>
    <t>APLD</t>
  </si>
  <si>
    <t>Security</t>
  </si>
  <si>
    <t>AWK</t>
  </si>
  <si>
    <t>Silver</t>
  </si>
  <si>
    <t>AXP</t>
  </si>
  <si>
    <t>Waste</t>
  </si>
  <si>
    <t>BABA</t>
  </si>
  <si>
    <t>Thematic Portfolio (exc SPY)</t>
  </si>
  <si>
    <t>BE</t>
  </si>
  <si>
    <t>BWXT</t>
  </si>
  <si>
    <t>CIEN</t>
  </si>
  <si>
    <t>CLH</t>
  </si>
  <si>
    <t>CSIQ</t>
  </si>
  <si>
    <t>DAR</t>
  </si>
  <si>
    <t>DBRG</t>
  </si>
  <si>
    <t>DIS</t>
  </si>
  <si>
    <t>DLR</t>
  </si>
  <si>
    <t>DXCM</t>
  </si>
  <si>
    <t>EHAB</t>
  </si>
  <si>
    <t>EQIX</t>
  </si>
  <si>
    <t>EXC</t>
  </si>
  <si>
    <t>EXPE</t>
  </si>
  <si>
    <t>FISV</t>
  </si>
  <si>
    <t>GE</t>
  </si>
  <si>
    <t>GOOG</t>
  </si>
  <si>
    <t>H</t>
  </si>
  <si>
    <t>IREN</t>
  </si>
  <si>
    <t>LDOS</t>
  </si>
  <si>
    <t>LITE</t>
  </si>
  <si>
    <t>LLY</t>
  </si>
  <si>
    <t>LYV</t>
  </si>
  <si>
    <t>MA</t>
  </si>
  <si>
    <t>MAR</t>
  </si>
  <si>
    <t>MDT</t>
  </si>
  <si>
    <t>MQ</t>
  </si>
  <si>
    <t>MSGE</t>
  </si>
  <si>
    <t>MSI</t>
  </si>
  <si>
    <t>NBIS</t>
  </si>
  <si>
    <t>NCLH</t>
  </si>
  <si>
    <t>NEE</t>
  </si>
  <si>
    <t>NVDA</t>
  </si>
  <si>
    <t>OSIS</t>
  </si>
  <si>
    <t>PCT</t>
  </si>
  <si>
    <t>PESI</t>
  </si>
  <si>
    <t>PWR</t>
  </si>
  <si>
    <t>RCL</t>
  </si>
  <si>
    <t>RSG</t>
  </si>
  <si>
    <t>RTX</t>
  </si>
  <si>
    <t>SYK</t>
  </si>
  <si>
    <t>TKO</t>
  </si>
  <si>
    <t>TNL</t>
  </si>
  <si>
    <t>TOST</t>
  </si>
  <si>
    <t>TSLA</t>
  </si>
  <si>
    <t>TSM</t>
  </si>
  <si>
    <t>TTEK</t>
  </si>
  <si>
    <t>V</t>
  </si>
  <si>
    <t>VRT</t>
  </si>
  <si>
    <t>VTR</t>
  </si>
  <si>
    <t>WELL</t>
  </si>
  <si>
    <t>WM</t>
  </si>
  <si>
    <t>XYL</t>
  </si>
  <si>
    <t>XYZ</t>
  </si>
  <si>
    <t>Subtheme</t>
  </si>
  <si>
    <t>Weight</t>
  </si>
  <si>
    <t>Total Gain / Loss</t>
  </si>
  <si>
    <t>Total Gain / Loss %</t>
  </si>
  <si>
    <t>Adtech</t>
  </si>
  <si>
    <t>Battery</t>
  </si>
  <si>
    <t>NOW</t>
  </si>
  <si>
    <t>Legacy Software</t>
  </si>
  <si>
    <t>RDDT</t>
  </si>
  <si>
    <t>SNOW</t>
  </si>
  <si>
    <t>BMI</t>
  </si>
  <si>
    <t>Water PFAS</t>
  </si>
  <si>
    <t>ECL</t>
  </si>
  <si>
    <t>MWA</t>
  </si>
  <si>
    <t>PNR</t>
  </si>
  <si>
    <t>VLTO</t>
  </si>
  <si>
    <t>WTS</t>
  </si>
  <si>
    <t>SPY Price</t>
  </si>
  <si>
    <t>SPY Shares</t>
  </si>
  <si>
    <t>ticker</t>
  </si>
  <si>
    <t>alpha</t>
  </si>
  <si>
    <t>R^2</t>
  </si>
  <si>
    <t>Weights</t>
  </si>
  <si>
    <t>Total Gain/Loss $</t>
  </si>
  <si>
    <t>Total Gain/Loss %</t>
  </si>
  <si>
    <t>AFRM</t>
  </si>
  <si>
    <t>DKNG</t>
  </si>
  <si>
    <t>Sports</t>
  </si>
  <si>
    <t>FLUT</t>
  </si>
  <si>
    <t>KLAR</t>
  </si>
  <si>
    <t>MGM</t>
  </si>
  <si>
    <t>SRAD</t>
  </si>
  <si>
    <t>Benchmark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</si>
</sst>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&quot;$&quot;0.00"/>
    <numFmt numFmtId="166" formatCode="0.0"/>
    <numFmt numFmtId="167" formatCode="_(* #,##0.00_);_(* \(#,##0.00\);_(* &quot;-&quot;??_);_(@_)"/>
    <numFmt numFmtId="168" formatCode="\$#,##0.00"/>
  </numFmts>
  <fonts count="19">
    <font>
      <sz val="10.0"/>
      <color rgb="FF000000"/>
      <name val="Helvetica Neue"/>
      <scheme val="minor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rgb="FF38761D"/>
      <name val="Calibri"/>
    </font>
    <font>
      <sz val="10.0"/>
      <color rgb="FF0000FF"/>
      <name val="Calibri"/>
    </font>
    <font>
      <color theme="1"/>
      <name val="Calibri"/>
    </font>
    <font>
      <b/>
      <color theme="1"/>
      <name val="Calibri"/>
    </font>
    <font>
      <color rgb="FF0000FF"/>
      <name val="Calibri"/>
    </font>
    <font>
      <b/>
      <color rgb="FF000000"/>
      <name val="Calibri"/>
    </font>
    <font>
      <b/>
      <sz val="10.0"/>
      <color rgb="FF000000"/>
      <name val="Helvetica Neue"/>
    </font>
    <font>
      <sz val="10.0"/>
      <color rgb="FF000000"/>
      <name val="Helvetica Neue"/>
    </font>
    <font>
      <color theme="1"/>
      <name val="Helvetica Neue"/>
    </font>
    <font>
      <b/>
      <sz val="12.0"/>
      <color theme="1"/>
      <name val="Calibri"/>
    </font>
    <font>
      <sz val="12.0"/>
      <color theme="1"/>
      <name val="Calibri"/>
    </font>
    <font>
      <color theme="1"/>
      <name val="Helvetica Neue"/>
      <scheme val="minor"/>
    </font>
    <font>
      <color theme="1"/>
      <name val="Arial"/>
    </font>
    <font>
      <sz val="10.0"/>
      <color theme="1"/>
      <name val="Arial"/>
    </font>
  </fonts>
  <fills count="6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7D5"/>
        <bgColor rgb="FFFFF7D5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BDC0BF"/>
        <bgColor rgb="FFBDC0BF"/>
      </patternFill>
    </fill>
    <fill>
      <patternFill patternType="solid">
        <fgColor rgb="FFAEABAB"/>
        <bgColor rgb="FFAEABAB"/>
      </patternFill>
    </fill>
    <fill>
      <patternFill patternType="solid">
        <fgColor rgb="FFD8D8D8"/>
        <bgColor rgb="FFD8D8D8"/>
      </patternFill>
    </fill>
    <fill>
      <patternFill patternType="solid">
        <fgColor rgb="FFF4C6C2"/>
        <bgColor rgb="FFF4C6C2"/>
      </patternFill>
    </fill>
    <fill>
      <patternFill patternType="solid">
        <fgColor rgb="FFE67C73"/>
        <bgColor rgb="FFE67C73"/>
      </patternFill>
    </fill>
    <fill>
      <patternFill patternType="solid">
        <fgColor rgb="FFC3E7D6"/>
        <bgColor rgb="FFC3E7D6"/>
      </patternFill>
    </fill>
    <fill>
      <patternFill patternType="solid">
        <fgColor rgb="FFF4C7C4"/>
        <bgColor rgb="FFF4C7C4"/>
      </patternFill>
    </fill>
    <fill>
      <patternFill patternType="solid">
        <fgColor rgb="FFF8DDDB"/>
        <bgColor rgb="FFF8DDDB"/>
      </patternFill>
    </fill>
    <fill>
      <patternFill patternType="solid">
        <fgColor rgb="FF82CDA8"/>
        <bgColor rgb="FF82CDA8"/>
      </patternFill>
    </fill>
    <fill>
      <patternFill patternType="solid">
        <fgColor rgb="FFDEF2E8"/>
        <bgColor rgb="FFDEF2E8"/>
      </patternFill>
    </fill>
    <fill>
      <patternFill patternType="solid">
        <fgColor rgb="FFF8DDDA"/>
        <bgColor rgb="FFF8DDDA"/>
      </patternFill>
    </fill>
    <fill>
      <patternFill patternType="solid">
        <fgColor rgb="FFEEAAA4"/>
        <bgColor rgb="FFEEAAA4"/>
      </patternFill>
    </fill>
    <fill>
      <patternFill patternType="solid">
        <fgColor rgb="FFE7F5EE"/>
        <bgColor rgb="FFE7F5EE"/>
      </patternFill>
    </fill>
    <fill>
      <patternFill patternType="solid">
        <fgColor rgb="FFF1B8B3"/>
        <bgColor rgb="FFF1B8B3"/>
      </patternFill>
    </fill>
    <fill>
      <patternFill patternType="solid">
        <fgColor rgb="FFF9FDFB"/>
        <bgColor rgb="FFF9FDFB"/>
      </patternFill>
    </fill>
    <fill>
      <patternFill patternType="solid">
        <fgColor rgb="FF57BB8A"/>
        <bgColor rgb="FF57BB8A"/>
      </patternFill>
    </fill>
    <fill>
      <patternFill patternType="solid">
        <fgColor rgb="FFFDFEFD"/>
        <bgColor rgb="FFFDFEFD"/>
      </patternFill>
    </fill>
    <fill>
      <patternFill patternType="solid">
        <fgColor rgb="FFF5FBF8"/>
        <bgColor rgb="FFF5FBF8"/>
      </patternFill>
    </fill>
    <fill>
      <patternFill patternType="solid">
        <fgColor rgb="FFD0ECDF"/>
        <bgColor rgb="FFD0ECDF"/>
      </patternFill>
    </fill>
    <fill>
      <patternFill patternType="solid">
        <fgColor rgb="FFF0F9F5"/>
        <bgColor rgb="FFF0F9F5"/>
      </patternFill>
    </fill>
    <fill>
      <patternFill patternType="solid">
        <fgColor rgb="FFDFF3E9"/>
        <bgColor rgb="FFDFF3E9"/>
      </patternFill>
    </fill>
    <fill>
      <patternFill patternType="solid">
        <fgColor rgb="FFBFE5D2"/>
        <bgColor rgb="FFBFE5D2"/>
      </patternFill>
    </fill>
    <fill>
      <patternFill patternType="solid">
        <fgColor rgb="FFEDA29C"/>
        <bgColor rgb="FFEDA29C"/>
      </patternFill>
    </fill>
    <fill>
      <patternFill patternType="solid">
        <fgColor rgb="FFF7FCF9"/>
        <bgColor rgb="FFF7FCF9"/>
      </patternFill>
    </fill>
    <fill>
      <patternFill patternType="solid">
        <fgColor rgb="FFF3C4BF"/>
        <bgColor rgb="FFF3C4BF"/>
      </patternFill>
    </fill>
    <fill>
      <patternFill patternType="solid">
        <fgColor rgb="FFFEFFFF"/>
        <bgColor rgb="FFFEFFFF"/>
      </patternFill>
    </fill>
    <fill>
      <patternFill patternType="solid">
        <fgColor rgb="FFF6FBF9"/>
        <bgColor rgb="FFF6FBF9"/>
      </patternFill>
    </fill>
    <fill>
      <patternFill patternType="solid">
        <fgColor rgb="FFF1FAF6"/>
        <bgColor rgb="FFF1FAF6"/>
      </patternFill>
    </fill>
    <fill>
      <patternFill patternType="solid">
        <fgColor rgb="FFFAFDFB"/>
        <bgColor rgb="FFFAFDFB"/>
      </patternFill>
    </fill>
    <fill>
      <patternFill patternType="solid">
        <fgColor rgb="FFFCFEFD"/>
        <bgColor rgb="FFFCFEFD"/>
      </patternFill>
    </fill>
    <fill>
      <patternFill patternType="solid">
        <fgColor rgb="FFF9E0DE"/>
        <bgColor rgb="FFF9E0DE"/>
      </patternFill>
    </fill>
    <fill>
      <patternFill patternType="solid">
        <fgColor rgb="FFE2F3EB"/>
        <bgColor rgb="FFE2F3EB"/>
      </patternFill>
    </fill>
    <fill>
      <patternFill patternType="solid">
        <fgColor rgb="FFFDFFFE"/>
        <bgColor rgb="FFFDFFFE"/>
      </patternFill>
    </fill>
    <fill>
      <patternFill patternType="solid">
        <fgColor rgb="FFFCF2F1"/>
        <bgColor rgb="FFFCF2F1"/>
      </patternFill>
    </fill>
    <fill>
      <patternFill patternType="solid">
        <fgColor rgb="FFEDA59E"/>
        <bgColor rgb="FFEDA59E"/>
      </patternFill>
    </fill>
    <fill>
      <patternFill patternType="solid">
        <fgColor rgb="FFF2BFBA"/>
        <bgColor rgb="FFF2BFBA"/>
      </patternFill>
    </fill>
    <fill>
      <patternFill patternType="solid">
        <fgColor rgb="FFF4C8C5"/>
        <bgColor rgb="FFF4C8C5"/>
      </patternFill>
    </fill>
    <fill>
      <patternFill patternType="solid">
        <fgColor rgb="FFEA938C"/>
        <bgColor rgb="FFEA938C"/>
      </patternFill>
    </fill>
    <fill>
      <patternFill patternType="solid">
        <fgColor rgb="FFDBF1E6"/>
        <bgColor rgb="FFDBF1E6"/>
      </patternFill>
    </fill>
    <fill>
      <patternFill patternType="solid">
        <fgColor rgb="FFF3C0BC"/>
        <bgColor rgb="FFF3C0BC"/>
      </patternFill>
    </fill>
    <fill>
      <patternFill patternType="solid">
        <fgColor rgb="FFEB9A93"/>
        <bgColor rgb="FFEB9A93"/>
      </patternFill>
    </fill>
    <fill>
      <patternFill patternType="solid">
        <fgColor rgb="FFF0B4AF"/>
        <bgColor rgb="FFF0B4AF"/>
      </patternFill>
    </fill>
    <fill>
      <patternFill patternType="solid">
        <fgColor rgb="FFFEFCFC"/>
        <bgColor rgb="FFFEFCFC"/>
      </patternFill>
    </fill>
    <fill>
      <patternFill patternType="solid">
        <fgColor rgb="FFFDF5F5"/>
        <bgColor rgb="FFFDF5F5"/>
      </patternFill>
    </fill>
    <fill>
      <patternFill patternType="solid">
        <fgColor rgb="FFF2BDB8"/>
        <bgColor rgb="FFF2BDB8"/>
      </patternFill>
    </fill>
    <fill>
      <patternFill patternType="solid">
        <fgColor rgb="FFEDA39D"/>
        <bgColor rgb="FFEDA39D"/>
      </patternFill>
    </fill>
    <fill>
      <patternFill patternType="solid">
        <fgColor rgb="FFF4C7C3"/>
        <bgColor rgb="FFF4C7C3"/>
      </patternFill>
    </fill>
    <fill>
      <patternFill patternType="solid">
        <fgColor rgb="FFFFFFFF"/>
        <bgColor rgb="FFFFFFFF"/>
      </patternFill>
    </fill>
    <fill>
      <patternFill patternType="solid">
        <fgColor rgb="FFFEFAFA"/>
        <bgColor rgb="FFFEFAFA"/>
      </patternFill>
    </fill>
    <fill>
      <patternFill patternType="solid">
        <fgColor rgb="FFF6D3D1"/>
        <bgColor rgb="FFF6D3D1"/>
      </patternFill>
    </fill>
    <fill>
      <patternFill patternType="solid">
        <fgColor rgb="FFE0F3EA"/>
        <bgColor rgb="FFE0F3EA"/>
      </patternFill>
    </fill>
    <fill>
      <patternFill patternType="solid">
        <fgColor rgb="FF95D4B5"/>
        <bgColor rgb="FF95D4B5"/>
      </patternFill>
    </fill>
    <fill>
      <patternFill patternType="solid">
        <fgColor rgb="FFF5CAC7"/>
        <bgColor rgb="FFF5CAC7"/>
      </patternFill>
    </fill>
    <fill>
      <patternFill patternType="solid">
        <fgColor rgb="FFFEFEFE"/>
        <bgColor rgb="FFFEFEFE"/>
      </patternFill>
    </fill>
    <fill>
      <patternFill patternType="solid">
        <fgColor rgb="FFE88A82"/>
        <bgColor rgb="FFE88A82"/>
      </patternFill>
    </fill>
    <fill>
      <patternFill patternType="solid">
        <fgColor rgb="FFFEFFFE"/>
        <bgColor rgb="FFFEFFFE"/>
      </patternFill>
    </fill>
    <fill>
      <patternFill patternType="solid">
        <fgColor rgb="FFF6D3D0"/>
        <bgColor rgb="FFF6D3D0"/>
      </patternFill>
    </fill>
    <fill>
      <patternFill patternType="solid">
        <fgColor rgb="FFFCF1F0"/>
        <bgColor rgb="FFFCF1F0"/>
      </patternFill>
    </fill>
    <fill>
      <patternFill patternType="solid">
        <fgColor rgb="FFDBDBDB"/>
        <bgColor rgb="FFDBDBDB"/>
      </patternFill>
    </fill>
    <fill>
      <patternFill patternType="solid">
        <fgColor rgb="FFFAFAFA"/>
        <bgColor rgb="FFFAFAFA"/>
      </patternFill>
    </fill>
  </fills>
  <borders count="30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A5A5A5"/>
      </left>
      <right/>
      <top style="thin">
        <color rgb="FF3F3F3F"/>
      </top>
      <bottom style="thin">
        <color rgb="FFA5A5A5"/>
      </bottom>
    </border>
    <border>
      <bottom style="thin">
        <color rgb="FFF3F4F6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A5A5A5"/>
      </left>
      <right/>
      <top/>
      <bottom style="thin">
        <color rgb="FF3F3F3F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2" fillId="2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2" numFmtId="0" xfId="0" applyAlignment="1" applyBorder="1" applyFont="1">
      <alignment shrinkToFit="0" vertical="top" wrapText="1"/>
    </xf>
    <xf borderId="5" fillId="2" fontId="3" numFmtId="0" xfId="0" applyAlignment="1" applyBorder="1" applyFont="1">
      <alignment shrinkToFit="0" vertical="top" wrapText="1"/>
    </xf>
    <xf borderId="6" fillId="2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1"/>
    </xf>
    <xf borderId="0" fillId="0" fontId="2" numFmtId="2" xfId="0" applyAlignment="1" applyFont="1" applyNumberFormat="1">
      <alignment shrinkToFit="0" vertical="top" wrapText="1"/>
    </xf>
    <xf borderId="8" fillId="0" fontId="2" numFmtId="2" xfId="0" applyAlignment="1" applyBorder="1" applyFont="1" applyNumberFormat="1">
      <alignment shrinkToFit="0" vertical="top" wrapText="1"/>
    </xf>
    <xf borderId="4" fillId="3" fontId="3" numFmtId="0" xfId="0" applyAlignment="1" applyBorder="1" applyFill="1" applyFont="1">
      <alignment shrinkToFit="0" vertical="top" wrapText="1"/>
    </xf>
    <xf borderId="5" fillId="3" fontId="2" numFmtId="2" xfId="0" applyAlignment="1" applyBorder="1" applyFont="1" applyNumberFormat="1">
      <alignment shrinkToFit="0" vertical="top" wrapText="1"/>
    </xf>
    <xf borderId="6" fillId="3" fontId="2" numFmtId="2" xfId="0" applyAlignment="1" applyBorder="1" applyFont="1" applyNumberFormat="1">
      <alignment shrinkToFit="0" vertical="top" wrapText="1"/>
    </xf>
    <xf borderId="9" fillId="0" fontId="3" numFmtId="0" xfId="0" applyAlignment="1" applyBorder="1" applyFont="1">
      <alignment shrinkToFit="0" vertical="top" wrapText="1"/>
    </xf>
    <xf borderId="10" fillId="0" fontId="2" numFmtId="2" xfId="0" applyAlignment="1" applyBorder="1" applyFont="1" applyNumberFormat="1">
      <alignment shrinkToFit="0" vertical="top" wrapText="1"/>
    </xf>
    <xf borderId="11" fillId="0" fontId="2" numFmtId="2" xfId="0" applyAlignment="1" applyBorder="1" applyFont="1" applyNumberForma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2" fontId="3" numFmtId="0" xfId="0" applyAlignment="1" applyFont="1">
      <alignment shrinkToFit="0" vertical="top" wrapText="1"/>
    </xf>
    <xf borderId="0" fillId="2" fontId="3" numFmtId="0" xfId="0" applyAlignment="1" applyFont="1">
      <alignment readingOrder="0" shrinkToFit="0" vertical="top" wrapText="1"/>
    </xf>
    <xf borderId="0" fillId="0" fontId="5" numFmtId="10" xfId="0" applyAlignment="1" applyFont="1" applyNumberFormat="1">
      <alignment horizontal="center" shrinkToFit="0" vertical="top" wrapText="1"/>
    </xf>
    <xf borderId="0" fillId="0" fontId="6" numFmtId="10" xfId="0" applyAlignment="1" applyFont="1" applyNumberFormat="1">
      <alignment horizontal="center" shrinkToFit="0" vertical="top" wrapText="1"/>
    </xf>
    <xf borderId="0" fillId="0" fontId="6" numFmtId="0" xfId="0" applyAlignment="1" applyFont="1">
      <alignment horizontal="right" readingOrder="0" shrinkToFit="0" vertical="bottom" wrapText="0"/>
    </xf>
    <xf borderId="0" fillId="4" fontId="1" numFmtId="0" xfId="0" applyAlignment="1" applyFill="1" applyFont="1">
      <alignment shrinkToFit="0" vertical="top" wrapText="1"/>
    </xf>
    <xf borderId="12" fillId="5" fontId="4" numFmtId="0" xfId="0" applyAlignment="1" applyBorder="1" applyFill="1" applyFont="1">
      <alignment shrinkToFit="0" vertical="top" wrapText="1"/>
    </xf>
    <xf borderId="13" fillId="5" fontId="4" numFmtId="0" xfId="0" applyAlignment="1" applyBorder="1" applyFont="1">
      <alignment shrinkToFit="0" vertical="top" wrapText="1"/>
    </xf>
    <xf borderId="14" fillId="5" fontId="4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15" fillId="0" fontId="4" numFmtId="0" xfId="0" applyAlignment="1" applyBorder="1" applyFont="1">
      <alignment shrinkToFit="0" vertical="top" wrapText="1"/>
    </xf>
    <xf borderId="0" fillId="0" fontId="1" numFmtId="2" xfId="0" applyAlignment="1" applyFont="1" applyNumberFormat="1">
      <alignment horizontal="center" shrinkToFit="0" vertical="top" wrapText="1"/>
    </xf>
    <xf borderId="8" fillId="0" fontId="1" numFmtId="2" xfId="0" applyAlignment="1" applyBorder="1" applyFont="1" applyNumberFormat="1">
      <alignment horizontal="center" shrinkToFit="0" vertical="top" wrapText="1"/>
    </xf>
    <xf borderId="0" fillId="0" fontId="1" numFmtId="2" xfId="0" applyAlignment="1" applyFont="1" applyNumberForma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10" xfId="0" applyAlignment="1" applyFont="1" applyNumberFormat="1">
      <alignment horizontal="center" shrinkToFit="0" vertical="top" wrapText="1"/>
    </xf>
    <xf borderId="8" fillId="0" fontId="1" numFmtId="10" xfId="0" applyAlignment="1" applyBorder="1" applyFont="1" applyNumberFormat="1">
      <alignment horizontal="center" shrinkToFit="0" vertical="top" wrapText="1"/>
    </xf>
    <xf borderId="16" fillId="0" fontId="4" numFmtId="0" xfId="0" applyAlignment="1" applyBorder="1" applyFont="1">
      <alignment shrinkToFit="0" vertical="top" wrapText="1"/>
    </xf>
    <xf borderId="10" fillId="6" fontId="1" numFmtId="10" xfId="0" applyAlignment="1" applyBorder="1" applyFill="1" applyFont="1" applyNumberFormat="1">
      <alignment horizontal="center" shrinkToFit="0" vertical="top" wrapText="1"/>
    </xf>
    <xf borderId="10" fillId="0" fontId="1" numFmtId="0" xfId="0" applyAlignment="1" applyBorder="1" applyFont="1">
      <alignment horizontal="center" shrinkToFit="0" vertical="top" wrapText="1"/>
    </xf>
    <xf borderId="11" fillId="0" fontId="1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2" fontId="8" numFmtId="0" xfId="0" applyAlignment="1" applyFont="1">
      <alignment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0" fontId="7" numFmtId="10" xfId="0" applyAlignment="1" applyFont="1" applyNumberFormat="1">
      <alignment shrinkToFit="0" vertical="top" wrapText="1"/>
    </xf>
    <xf borderId="0" fillId="0" fontId="7" numFmtId="164" xfId="0" applyAlignment="1" applyFont="1" applyNumberFormat="1">
      <alignment shrinkToFit="0" vertical="top" wrapText="1"/>
    </xf>
    <xf borderId="0" fillId="2" fontId="10" numFmtId="0" xfId="0" applyAlignment="1" applyFont="1">
      <alignment shrinkToFit="0" vertical="top" wrapText="1"/>
    </xf>
    <xf borderId="0" fillId="0" fontId="9" numFmtId="4" xfId="0" applyAlignment="1" applyFont="1" applyNumberFormat="1">
      <alignment shrinkToFit="0" vertical="top" wrapText="1"/>
    </xf>
    <xf borderId="17" fillId="7" fontId="11" numFmtId="49" xfId="0" applyAlignment="1" applyBorder="1" applyFill="1" applyFont="1" applyNumberFormat="1">
      <alignment shrinkToFit="0" vertical="top" wrapText="0"/>
    </xf>
    <xf borderId="5" fillId="2" fontId="11" numFmtId="0" xfId="0" applyAlignment="1" applyBorder="1" applyFont="1">
      <alignment shrinkToFit="0" vertical="top" wrapText="1"/>
    </xf>
    <xf borderId="5" fillId="2" fontId="11" numFmtId="49" xfId="0" applyAlignment="1" applyBorder="1" applyFont="1" applyNumberFormat="1">
      <alignment shrinkToFit="0" vertical="top" wrapText="1"/>
    </xf>
    <xf borderId="1" fillId="2" fontId="12" numFmtId="0" xfId="0" applyAlignment="1" applyBorder="1" applyFont="1">
      <alignment shrinkToFit="0" vertical="top" wrapText="1"/>
    </xf>
    <xf borderId="2" fillId="2" fontId="12" numFmtId="0" xfId="0" applyAlignment="1" applyBorder="1" applyFont="1">
      <alignment shrinkToFit="0" vertical="top" wrapText="1"/>
    </xf>
    <xf borderId="3" fillId="2" fontId="12" numFmtId="0" xfId="0" applyAlignment="1" applyBorder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18" fillId="0" fontId="12" numFmtId="49" xfId="0" applyAlignment="1" applyBorder="1" applyFont="1" applyNumberFormat="1">
      <alignment shrinkToFit="0" vertical="top" wrapText="0"/>
    </xf>
    <xf borderId="19" fillId="0" fontId="12" numFmtId="49" xfId="0" applyAlignment="1" applyBorder="1" applyFont="1" applyNumberFormat="1">
      <alignment readingOrder="0" shrinkToFit="0" vertical="top" wrapText="0"/>
    </xf>
    <xf borderId="0" fillId="0" fontId="13" numFmtId="165" xfId="0" applyAlignment="1" applyFont="1" applyNumberFormat="1">
      <alignment shrinkToFit="0" vertical="top" wrapText="1"/>
    </xf>
    <xf borderId="0" fillId="0" fontId="12" numFmtId="9" xfId="0" applyAlignment="1" applyFont="1" applyNumberFormat="1">
      <alignment shrinkToFit="0" vertical="top" wrapText="1"/>
    </xf>
    <xf borderId="7" fillId="0" fontId="12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8" fillId="0" fontId="12" numFmtId="0" xfId="0" applyAlignment="1" applyBorder="1" applyFont="1">
      <alignment shrinkToFit="0" vertical="top" wrapText="1"/>
    </xf>
    <xf borderId="20" fillId="0" fontId="12" numFmtId="49" xfId="0" applyAlignment="1" applyBorder="1" applyFont="1" applyNumberFormat="1">
      <alignment shrinkToFit="0" vertical="top" wrapText="0"/>
    </xf>
    <xf borderId="21" fillId="0" fontId="12" numFmtId="49" xfId="0" applyAlignment="1" applyBorder="1" applyFont="1" applyNumberFormat="1">
      <alignment shrinkToFit="0" vertical="top" wrapText="0"/>
    </xf>
    <xf borderId="0" fillId="0" fontId="13" numFmtId="49" xfId="0" applyAlignment="1" applyFont="1" applyNumberFormat="1">
      <alignment shrinkToFit="0" vertical="top" wrapText="1"/>
    </xf>
    <xf borderId="0" fillId="0" fontId="12" numFmtId="166" xfId="0" applyAlignment="1" applyFont="1" applyNumberFormat="1">
      <alignment shrinkToFit="0" vertical="top" wrapText="1"/>
    </xf>
    <xf borderId="8" fillId="0" fontId="12" numFmtId="166" xfId="0" applyAlignment="1" applyBorder="1" applyFont="1" applyNumberFormat="1">
      <alignment shrinkToFit="0" vertical="top" wrapText="1"/>
    </xf>
    <xf borderId="0" fillId="0" fontId="12" numFmtId="167" xfId="0" applyAlignment="1" applyFont="1" applyNumberFormat="1">
      <alignment shrinkToFit="0" vertical="top" wrapText="1"/>
    </xf>
    <xf borderId="9" fillId="0" fontId="12" numFmtId="0" xfId="0" applyAlignment="1" applyBorder="1" applyFont="1">
      <alignment shrinkToFit="0" vertical="top" wrapText="1"/>
    </xf>
    <xf borderId="10" fillId="0" fontId="12" numFmtId="166" xfId="0" applyAlignment="1" applyBorder="1" applyFont="1" applyNumberFormat="1">
      <alignment shrinkToFit="0" vertical="top" wrapText="1"/>
    </xf>
    <xf borderId="11" fillId="0" fontId="12" numFmtId="166" xfId="0" applyAlignment="1" applyBorder="1" applyFont="1" applyNumberFormat="1">
      <alignment shrinkToFit="0" vertical="top" wrapText="1"/>
    </xf>
    <xf borderId="20" fillId="0" fontId="12" numFmtId="0" xfId="0" applyAlignment="1" applyBorder="1" applyFont="1">
      <alignment shrinkToFit="0" vertical="top" wrapText="0"/>
    </xf>
    <xf borderId="21" fillId="0" fontId="12" numFmtId="0" xfId="0" applyAlignment="1" applyBorder="1" applyFont="1">
      <alignment shrinkToFit="0" vertical="top" wrapText="0"/>
    </xf>
    <xf borderId="0" fillId="0" fontId="13" numFmtId="9" xfId="0" applyAlignment="1" applyFont="1" applyNumberFormat="1">
      <alignment shrinkToFit="0" vertical="top" wrapText="1"/>
    </xf>
    <xf borderId="0" fillId="0" fontId="12" numFmtId="0" xfId="0" applyAlignment="1" applyFont="1">
      <alignment shrinkToFit="0" vertical="top" wrapText="0"/>
    </xf>
    <xf borderId="5" fillId="8" fontId="14" numFmtId="0" xfId="0" applyAlignment="1" applyBorder="1" applyFill="1" applyFont="1">
      <alignment shrinkToFit="0" vertical="bottom" wrapText="1"/>
    </xf>
    <xf borderId="5" fillId="8" fontId="14" numFmtId="10" xfId="0" applyAlignment="1" applyBorder="1" applyFont="1" applyNumberFormat="1">
      <alignment shrinkToFit="0" vertical="bottom" wrapText="1"/>
    </xf>
    <xf borderId="5" fillId="8" fontId="14" numFmtId="168" xfId="0" applyAlignment="1" applyBorder="1" applyFont="1" applyNumberFormat="1">
      <alignment shrinkToFit="0" vertical="bottom" wrapText="1"/>
    </xf>
    <xf borderId="22" fillId="9" fontId="14" numFmtId="49" xfId="0" applyAlignment="1" applyBorder="1" applyFill="1" applyFont="1" applyNumberFormat="1">
      <alignment shrinkToFit="0" vertical="top" wrapText="1"/>
    </xf>
    <xf borderId="22" fillId="0" fontId="15" numFmtId="49" xfId="0" applyAlignment="1" applyBorder="1" applyFont="1" applyNumberFormat="1">
      <alignment shrinkToFit="0" vertical="top" wrapText="1"/>
    </xf>
    <xf borderId="22" fillId="0" fontId="15" numFmtId="10" xfId="0" applyAlignment="1" applyBorder="1" applyFont="1" applyNumberFormat="1">
      <alignment horizontal="right" shrinkToFit="0" vertical="bottom" wrapText="1"/>
    </xf>
    <xf borderId="22" fillId="0" fontId="15" numFmtId="168" xfId="0" applyAlignment="1" applyBorder="1" applyFont="1" applyNumberFormat="1">
      <alignment horizontal="right" shrinkToFit="0" vertical="bottom" wrapText="1"/>
    </xf>
    <xf borderId="22" fillId="10" fontId="15" numFmtId="10" xfId="0" applyAlignment="1" applyBorder="1" applyFill="1" applyFont="1" applyNumberFormat="1">
      <alignment horizontal="right" shrinkToFit="0" vertical="bottom" wrapText="1"/>
    </xf>
    <xf borderId="22" fillId="11" fontId="15" numFmtId="10" xfId="0" applyAlignment="1" applyBorder="1" applyFill="1" applyFont="1" applyNumberFormat="1">
      <alignment horizontal="right" shrinkToFit="0" vertical="bottom" wrapText="1"/>
    </xf>
    <xf borderId="22" fillId="12" fontId="15" numFmtId="10" xfId="0" applyAlignment="1" applyBorder="1" applyFill="1" applyFont="1" applyNumberFormat="1">
      <alignment horizontal="right" shrinkToFit="0" vertical="bottom" wrapText="1"/>
    </xf>
    <xf borderId="22" fillId="13" fontId="15" numFmtId="10" xfId="0" applyAlignment="1" applyBorder="1" applyFill="1" applyFont="1" applyNumberFormat="1">
      <alignment horizontal="right" shrinkToFit="0" vertical="bottom" wrapText="1"/>
    </xf>
    <xf borderId="22" fillId="14" fontId="15" numFmtId="10" xfId="0" applyAlignment="1" applyBorder="1" applyFill="1" applyFont="1" applyNumberFormat="1">
      <alignment horizontal="right" shrinkToFit="0" vertical="bottom" wrapText="1"/>
    </xf>
    <xf borderId="22" fillId="15" fontId="15" numFmtId="10" xfId="0" applyAlignment="1" applyBorder="1" applyFill="1" applyFont="1" applyNumberFormat="1">
      <alignment horizontal="right" shrinkToFit="0" vertical="bottom" wrapText="1"/>
    </xf>
    <xf borderId="22" fillId="16" fontId="15" numFmtId="10" xfId="0" applyAlignment="1" applyBorder="1" applyFill="1" applyFont="1" applyNumberFormat="1">
      <alignment horizontal="right" shrinkToFit="0" vertical="bottom" wrapText="1"/>
    </xf>
    <xf borderId="22" fillId="17" fontId="15" numFmtId="10" xfId="0" applyAlignment="1" applyBorder="1" applyFill="1" applyFont="1" applyNumberFormat="1">
      <alignment horizontal="right" shrinkToFit="0" vertical="bottom" wrapText="1"/>
    </xf>
    <xf borderId="22" fillId="18" fontId="15" numFmtId="10" xfId="0" applyAlignment="1" applyBorder="1" applyFill="1" applyFont="1" applyNumberFormat="1">
      <alignment horizontal="right" shrinkToFit="0" vertical="bottom" wrapText="1"/>
    </xf>
    <xf borderId="22" fillId="19" fontId="15" numFmtId="10" xfId="0" applyAlignment="1" applyBorder="1" applyFill="1" applyFont="1" applyNumberFormat="1">
      <alignment horizontal="right" shrinkToFit="0" vertical="bottom" wrapText="1"/>
    </xf>
    <xf borderId="22" fillId="20" fontId="15" numFmtId="10" xfId="0" applyAlignment="1" applyBorder="1" applyFill="1" applyFont="1" applyNumberFormat="1">
      <alignment horizontal="right" shrinkToFit="0" vertical="bottom" wrapText="1"/>
    </xf>
    <xf borderId="22" fillId="21" fontId="15" numFmtId="10" xfId="0" applyAlignment="1" applyBorder="1" applyFill="1" applyFont="1" applyNumberFormat="1">
      <alignment horizontal="right" shrinkToFit="0" vertical="bottom" wrapText="1"/>
    </xf>
    <xf borderId="22" fillId="22" fontId="15" numFmtId="10" xfId="0" applyAlignment="1" applyBorder="1" applyFill="1" applyFont="1" applyNumberFormat="1">
      <alignment horizontal="right" shrinkToFit="0" vertical="bottom" wrapText="1"/>
    </xf>
    <xf borderId="22" fillId="23" fontId="15" numFmtId="10" xfId="0" applyAlignment="1" applyBorder="1" applyFill="1" applyFont="1" applyNumberFormat="1">
      <alignment horizontal="right" shrinkToFit="0" vertical="bottom" wrapText="1"/>
    </xf>
    <xf borderId="22" fillId="24" fontId="15" numFmtId="10" xfId="0" applyAlignment="1" applyBorder="1" applyFill="1" applyFont="1" applyNumberFormat="1">
      <alignment horizontal="right" shrinkToFit="0" vertical="bottom" wrapText="1"/>
    </xf>
    <xf borderId="22" fillId="25" fontId="15" numFmtId="10" xfId="0" applyAlignment="1" applyBorder="1" applyFill="1" applyFont="1" applyNumberFormat="1">
      <alignment horizontal="right" shrinkToFit="0" vertical="bottom" wrapText="1"/>
    </xf>
    <xf borderId="22" fillId="26" fontId="15" numFmtId="10" xfId="0" applyAlignment="1" applyBorder="1" applyFill="1" applyFont="1" applyNumberFormat="1">
      <alignment horizontal="right" shrinkToFit="0" vertical="bottom" wrapText="1"/>
    </xf>
    <xf borderId="22" fillId="27" fontId="15" numFmtId="10" xfId="0" applyAlignment="1" applyBorder="1" applyFill="1" applyFont="1" applyNumberFormat="1">
      <alignment horizontal="right" shrinkToFit="0" vertical="bottom" wrapText="1"/>
    </xf>
    <xf borderId="22" fillId="28" fontId="15" numFmtId="10" xfId="0" applyAlignment="1" applyBorder="1" applyFill="1" applyFont="1" applyNumberFormat="1">
      <alignment horizontal="right" shrinkToFit="0" vertical="bottom" wrapText="1"/>
    </xf>
    <xf borderId="22" fillId="29" fontId="15" numFmtId="10" xfId="0" applyAlignment="1" applyBorder="1" applyFill="1" applyFont="1" applyNumberFormat="1">
      <alignment horizontal="right" shrinkToFit="0" vertical="bottom" wrapText="1"/>
    </xf>
    <xf borderId="22" fillId="30" fontId="15" numFmtId="10" xfId="0" applyAlignment="1" applyBorder="1" applyFill="1" applyFont="1" applyNumberFormat="1">
      <alignment horizontal="right" shrinkToFit="0" vertical="bottom" wrapText="1"/>
    </xf>
    <xf borderId="22" fillId="31" fontId="15" numFmtId="10" xfId="0" applyAlignment="1" applyBorder="1" applyFill="1" applyFont="1" applyNumberFormat="1">
      <alignment horizontal="right" shrinkToFit="0" vertical="bottom" wrapText="1"/>
    </xf>
    <xf borderId="22" fillId="32" fontId="15" numFmtId="10" xfId="0" applyAlignment="1" applyBorder="1" applyFill="1" applyFont="1" applyNumberFormat="1">
      <alignment horizontal="right" shrinkToFit="0" vertical="bottom" wrapText="1"/>
    </xf>
    <xf borderId="22" fillId="33" fontId="15" numFmtId="10" xfId="0" applyAlignment="1" applyBorder="1" applyFill="1" applyFont="1" applyNumberFormat="1">
      <alignment horizontal="right" shrinkToFit="0" vertical="bottom" wrapText="1"/>
    </xf>
    <xf borderId="22" fillId="34" fontId="15" numFmtId="10" xfId="0" applyAlignment="1" applyBorder="1" applyFill="1" applyFont="1" applyNumberFormat="1">
      <alignment horizontal="right" shrinkToFit="0" vertical="bottom" wrapText="1"/>
    </xf>
    <xf borderId="22" fillId="35" fontId="15" numFmtId="10" xfId="0" applyAlignment="1" applyBorder="1" applyFill="1" applyFont="1" applyNumberFormat="1">
      <alignment horizontal="right" shrinkToFit="0" vertical="bottom" wrapText="1"/>
    </xf>
    <xf borderId="22" fillId="36" fontId="15" numFmtId="10" xfId="0" applyAlignment="1" applyBorder="1" applyFill="1" applyFont="1" applyNumberFormat="1">
      <alignment horizontal="right" shrinkToFit="0" vertical="bottom" wrapText="1"/>
    </xf>
    <xf borderId="22" fillId="37" fontId="15" numFmtId="10" xfId="0" applyAlignment="1" applyBorder="1" applyFill="1" applyFont="1" applyNumberFormat="1">
      <alignment horizontal="right" shrinkToFit="0" vertical="bottom" wrapText="1"/>
    </xf>
    <xf borderId="22" fillId="38" fontId="15" numFmtId="10" xfId="0" applyAlignment="1" applyBorder="1" applyFill="1" applyFont="1" applyNumberFormat="1">
      <alignment horizontal="right" shrinkToFit="0" vertical="bottom" wrapText="1"/>
    </xf>
    <xf borderId="22" fillId="39" fontId="15" numFmtId="10" xfId="0" applyAlignment="1" applyBorder="1" applyFill="1" applyFont="1" applyNumberFormat="1">
      <alignment horizontal="right" shrinkToFit="0" vertical="bottom" wrapText="1"/>
    </xf>
    <xf borderId="22" fillId="40" fontId="15" numFmtId="10" xfId="0" applyAlignment="1" applyBorder="1" applyFill="1" applyFont="1" applyNumberFormat="1">
      <alignment horizontal="right" shrinkToFit="0" vertical="bottom" wrapText="1"/>
    </xf>
    <xf borderId="22" fillId="41" fontId="15" numFmtId="10" xfId="0" applyAlignment="1" applyBorder="1" applyFill="1" applyFont="1" applyNumberFormat="1">
      <alignment horizontal="right" shrinkToFit="0" vertical="bottom" wrapText="1"/>
    </xf>
    <xf borderId="22" fillId="42" fontId="15" numFmtId="10" xfId="0" applyAlignment="1" applyBorder="1" applyFill="1" applyFont="1" applyNumberFormat="1">
      <alignment horizontal="right" shrinkToFit="0" vertical="bottom" wrapText="1"/>
    </xf>
    <xf borderId="22" fillId="43" fontId="15" numFmtId="10" xfId="0" applyAlignment="1" applyBorder="1" applyFill="1" applyFont="1" applyNumberFormat="1">
      <alignment horizontal="right" shrinkToFit="0" vertical="bottom" wrapText="1"/>
    </xf>
    <xf borderId="22" fillId="44" fontId="15" numFmtId="10" xfId="0" applyAlignment="1" applyBorder="1" applyFill="1" applyFont="1" applyNumberFormat="1">
      <alignment horizontal="right" shrinkToFit="0" vertical="bottom" wrapText="1"/>
    </xf>
    <xf borderId="22" fillId="45" fontId="15" numFmtId="10" xfId="0" applyAlignment="1" applyBorder="1" applyFill="1" applyFont="1" applyNumberFormat="1">
      <alignment horizontal="right" shrinkToFit="0" vertical="bottom" wrapText="1"/>
    </xf>
    <xf borderId="22" fillId="46" fontId="15" numFmtId="10" xfId="0" applyAlignment="1" applyBorder="1" applyFill="1" applyFont="1" applyNumberFormat="1">
      <alignment horizontal="right" shrinkToFit="0" vertical="bottom" wrapText="1"/>
    </xf>
    <xf borderId="22" fillId="47" fontId="15" numFmtId="10" xfId="0" applyAlignment="1" applyBorder="1" applyFill="1" applyFont="1" applyNumberFormat="1">
      <alignment horizontal="right" shrinkToFit="0" vertical="bottom" wrapText="1"/>
    </xf>
    <xf borderId="22" fillId="48" fontId="15" numFmtId="10" xfId="0" applyAlignment="1" applyBorder="1" applyFill="1" applyFont="1" applyNumberFormat="1">
      <alignment horizontal="right" shrinkToFit="0" vertical="bottom" wrapText="1"/>
    </xf>
    <xf borderId="22" fillId="49" fontId="15" numFmtId="10" xfId="0" applyAlignment="1" applyBorder="1" applyFill="1" applyFont="1" applyNumberFormat="1">
      <alignment horizontal="right" shrinkToFit="0" vertical="bottom" wrapText="1"/>
    </xf>
    <xf borderId="22" fillId="50" fontId="15" numFmtId="10" xfId="0" applyAlignment="1" applyBorder="1" applyFill="1" applyFont="1" applyNumberFormat="1">
      <alignment horizontal="right" shrinkToFit="0" vertical="bottom" wrapText="1"/>
    </xf>
    <xf borderId="22" fillId="51" fontId="15" numFmtId="10" xfId="0" applyAlignment="1" applyBorder="1" applyFill="1" applyFont="1" applyNumberFormat="1">
      <alignment horizontal="right" shrinkToFit="0" vertical="bottom" wrapText="1"/>
    </xf>
    <xf borderId="22" fillId="52" fontId="15" numFmtId="10" xfId="0" applyAlignment="1" applyBorder="1" applyFill="1" applyFont="1" applyNumberFormat="1">
      <alignment horizontal="right" shrinkToFit="0" vertical="bottom" wrapText="1"/>
    </xf>
    <xf borderId="22" fillId="53" fontId="15" numFmtId="10" xfId="0" applyAlignment="1" applyBorder="1" applyFill="1" applyFont="1" applyNumberFormat="1">
      <alignment horizontal="right" shrinkToFit="0" vertical="bottom" wrapText="1"/>
    </xf>
    <xf borderId="22" fillId="54" fontId="15" numFmtId="10" xfId="0" applyAlignment="1" applyBorder="1" applyFill="1" applyFont="1" applyNumberFormat="1">
      <alignment horizontal="right" shrinkToFit="0" vertical="bottom" wrapText="1"/>
    </xf>
    <xf borderId="22" fillId="55" fontId="15" numFmtId="10" xfId="0" applyAlignment="1" applyBorder="1" applyFill="1" applyFont="1" applyNumberFormat="1">
      <alignment horizontal="right" shrinkToFit="0" vertical="bottom" wrapText="1"/>
    </xf>
    <xf borderId="22" fillId="56" fontId="15" numFmtId="10" xfId="0" applyAlignment="1" applyBorder="1" applyFill="1" applyFont="1" applyNumberFormat="1">
      <alignment horizontal="right" shrinkToFit="0" vertical="bottom" wrapText="1"/>
    </xf>
    <xf borderId="22" fillId="57" fontId="15" numFmtId="10" xfId="0" applyAlignment="1" applyBorder="1" applyFill="1" applyFont="1" applyNumberFormat="1">
      <alignment horizontal="right" shrinkToFit="0" vertical="bottom" wrapText="1"/>
    </xf>
    <xf borderId="22" fillId="58" fontId="15" numFmtId="10" xfId="0" applyAlignment="1" applyBorder="1" applyFill="1" applyFont="1" applyNumberFormat="1">
      <alignment horizontal="right" shrinkToFit="0" vertical="bottom" wrapText="1"/>
    </xf>
    <xf borderId="22" fillId="59" fontId="15" numFmtId="10" xfId="0" applyAlignment="1" applyBorder="1" applyFill="1" applyFont="1" applyNumberFormat="1">
      <alignment horizontal="right" shrinkToFit="0" vertical="bottom" wrapText="1"/>
    </xf>
    <xf borderId="22" fillId="60" fontId="15" numFmtId="10" xfId="0" applyAlignment="1" applyBorder="1" applyFill="1" applyFont="1" applyNumberFormat="1">
      <alignment horizontal="right" shrinkToFit="0" vertical="bottom" wrapText="1"/>
    </xf>
    <xf borderId="22" fillId="61" fontId="15" numFmtId="10" xfId="0" applyAlignment="1" applyBorder="1" applyFill="1" applyFont="1" applyNumberFormat="1">
      <alignment horizontal="right" shrinkToFit="0" vertical="bottom" wrapText="1"/>
    </xf>
    <xf borderId="22" fillId="62" fontId="15" numFmtId="10" xfId="0" applyAlignment="1" applyBorder="1" applyFill="1" applyFont="1" applyNumberFormat="1">
      <alignment horizontal="right" shrinkToFit="0" vertical="bottom" wrapText="1"/>
    </xf>
    <xf borderId="22" fillId="63" fontId="15" numFmtId="10" xfId="0" applyAlignment="1" applyBorder="1" applyFill="1" applyFont="1" applyNumberFormat="1">
      <alignment horizontal="right" shrinkToFit="0" vertical="bottom" wrapText="1"/>
    </xf>
    <xf borderId="22" fillId="64" fontId="15" numFmtId="10" xfId="0" applyAlignment="1" applyBorder="1" applyFill="1" applyFont="1" applyNumberFormat="1">
      <alignment horizontal="right" shrinkToFit="0" vertical="bottom" wrapText="1"/>
    </xf>
    <xf borderId="22" fillId="9" fontId="14" numFmtId="0" xfId="0" applyAlignment="1" applyBorder="1" applyFont="1">
      <alignment shrinkToFit="0" vertical="bottom" wrapText="1"/>
    </xf>
    <xf borderId="22" fillId="0" fontId="15" numFmtId="0" xfId="0" applyAlignment="1" applyBorder="1" applyFont="1">
      <alignment shrinkToFit="0" vertical="bottom" wrapText="1"/>
    </xf>
    <xf borderId="0" fillId="0" fontId="16" numFmtId="0" xfId="0" applyAlignment="1" applyFont="1">
      <alignment readingOrder="0" shrinkToFit="0" vertical="top" wrapText="1"/>
    </xf>
    <xf borderId="0" fillId="0" fontId="16" numFmtId="10" xfId="0" applyAlignment="1" applyFont="1" applyNumberFormat="1">
      <alignment readingOrder="0" shrinkToFit="0" vertical="top" wrapText="1"/>
    </xf>
    <xf borderId="0" fillId="0" fontId="16" numFmtId="0" xfId="0" applyAlignment="1" applyFont="1">
      <alignment shrinkToFit="0" vertical="top" wrapText="1"/>
    </xf>
    <xf borderId="17" fillId="7" fontId="11" numFmtId="0" xfId="0" applyAlignment="1" applyBorder="1" applyFont="1">
      <alignment shrinkToFit="0" vertical="top" wrapText="0"/>
    </xf>
    <xf borderId="23" fillId="7" fontId="11" numFmtId="49" xfId="0" applyAlignment="1" applyBorder="1" applyFont="1" applyNumberFormat="1">
      <alignment shrinkToFit="0" vertical="top" wrapText="0"/>
    </xf>
    <xf borderId="0" fillId="0" fontId="12" numFmtId="0" xfId="0" applyAlignment="1" applyFont="1">
      <alignment shrinkToFit="0" vertical="bottom" wrapText="0"/>
    </xf>
    <xf borderId="24" fillId="65" fontId="11" numFmtId="0" xfId="0" applyAlignment="1" applyBorder="1" applyFill="1" applyFont="1">
      <alignment shrinkToFit="0" vertical="top" wrapText="0"/>
    </xf>
    <xf borderId="25" fillId="66" fontId="13" numFmtId="49" xfId="0" applyAlignment="1" applyBorder="1" applyFill="1" applyFont="1" applyNumberFormat="1">
      <alignment shrinkToFit="0" vertical="bottom" wrapText="1"/>
    </xf>
    <xf borderId="25" fillId="66" fontId="13" numFmtId="0" xfId="0" applyAlignment="1" applyBorder="1" applyFont="1">
      <alignment horizontal="right" shrinkToFit="0" vertical="bottom" wrapText="1"/>
    </xf>
    <xf borderId="26" fillId="65" fontId="11" numFmtId="0" xfId="0" applyAlignment="1" applyBorder="1" applyFont="1">
      <alignment shrinkToFit="0" vertical="top" wrapText="0"/>
    </xf>
    <xf borderId="25" fillId="0" fontId="13" numFmtId="49" xfId="0" applyAlignment="1" applyBorder="1" applyFont="1" applyNumberFormat="1">
      <alignment shrinkToFit="0" vertical="bottom" wrapText="1"/>
    </xf>
    <xf borderId="25" fillId="0" fontId="13" numFmtId="0" xfId="0" applyAlignment="1" applyBorder="1" applyFont="1">
      <alignment horizontal="right" shrinkToFit="0" vertical="bottom" wrapText="1"/>
    </xf>
    <xf borderId="25" fillId="0" fontId="13" numFmtId="0" xfId="0" applyAlignment="1" applyBorder="1" applyFont="1">
      <alignment shrinkToFit="0" vertical="bottom" wrapText="1"/>
    </xf>
    <xf borderId="27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1"/>
    </xf>
    <xf borderId="0" fillId="0" fontId="17" numFmtId="0" xfId="0" applyAlignment="1" applyFont="1">
      <alignment horizontal="right" shrinkToFit="0" vertical="bottom" wrapText="1"/>
    </xf>
    <xf borderId="28" fillId="65" fontId="11" numFmtId="49" xfId="0" applyAlignment="1" applyBorder="1" applyFont="1" applyNumberFormat="1">
      <alignment shrinkToFit="0" vertical="top" wrapText="0"/>
    </xf>
    <xf borderId="27" fillId="0" fontId="12" numFmtId="49" xfId="0" applyAlignment="1" applyBorder="1" applyFont="1" applyNumberFormat="1">
      <alignment shrinkToFit="0" vertical="top" wrapText="0"/>
    </xf>
    <xf borderId="27" fillId="0" fontId="12" numFmtId="10" xfId="0" applyAlignment="1" applyBorder="1" applyFont="1" applyNumberFormat="1">
      <alignment shrinkToFit="0" vertical="top" wrapText="0"/>
    </xf>
    <xf borderId="27" fillId="0" fontId="12" numFmtId="4" xfId="0" applyAlignment="1" applyBorder="1" applyFont="1" applyNumberFormat="1">
      <alignment shrinkToFit="0" vertical="top" wrapText="0"/>
    </xf>
    <xf borderId="27" fillId="0" fontId="12" numFmtId="165" xfId="0" applyAlignment="1" applyBorder="1" applyFont="1" applyNumberFormat="1">
      <alignment shrinkToFit="0" vertical="top" wrapText="0"/>
    </xf>
    <xf borderId="29" fillId="65" fontId="11" numFmtId="49" xfId="0" applyAlignment="1" applyBorder="1" applyFont="1" applyNumberFormat="1">
      <alignment shrinkToFit="0" vertical="top" wrapText="0"/>
    </xf>
    <xf borderId="24" fillId="65" fontId="11" numFmtId="49" xfId="0" applyAlignment="1" applyBorder="1" applyFont="1" applyNumberFormat="1">
      <alignment shrinkToFit="0" vertical="top" wrapText="0"/>
    </xf>
    <xf borderId="26" fillId="65" fontId="11" numFmtId="49" xfId="0" applyAlignment="1" applyBorder="1" applyFont="1" applyNumberFormat="1">
      <alignment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1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5.0"/>
    <col customWidth="1" min="3" max="3" width="26.86"/>
    <col customWidth="1" min="4" max="4" width="13.57"/>
    <col customWidth="1" min="5" max="5" width="12.0"/>
    <col customWidth="1" min="6" max="6" width="17.86"/>
    <col customWidth="1" min="7" max="7" width="12.0"/>
    <col customWidth="1" min="8" max="27" width="8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0" customHeight="1">
      <c r="A2" s="1"/>
      <c r="B2" s="1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2.0" customHeight="1">
      <c r="A3" s="1"/>
      <c r="B3" s="1"/>
      <c r="C3" s="3"/>
      <c r="D3" s="4" t="str">
        <f>Backup!N2</f>
        <v>beta_market</v>
      </c>
      <c r="E3" s="4" t="str">
        <f>Backup!O2</f>
        <v>beta_value</v>
      </c>
      <c r="F3" s="4" t="str">
        <f>Backup!P2</f>
        <v>beta_momentum</v>
      </c>
      <c r="G3" s="5" t="str">
        <f>Backup!Q2</f>
        <v>beta_growth</v>
      </c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1"/>
      <c r="B4" s="1"/>
      <c r="C4" s="6"/>
      <c r="D4" s="7"/>
      <c r="E4" s="7"/>
      <c r="F4" s="7"/>
      <c r="G4" s="8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1"/>
      <c r="B5" s="1"/>
      <c r="C5" s="9" t="str">
        <f>Backup!M4</f>
        <v>AdTech</v>
      </c>
      <c r="D5" s="10">
        <f>Backup!N4</f>
        <v>1.354</v>
      </c>
      <c r="E5" s="10">
        <f>Backup!O4</f>
        <v>0.812</v>
      </c>
      <c r="F5" s="10">
        <f>Backup!P4</f>
        <v>0.058</v>
      </c>
      <c r="G5" s="11">
        <f>Backup!Q4</f>
        <v>0.058</v>
      </c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1"/>
      <c r="B6" s="1"/>
      <c r="C6" s="9" t="str">
        <f>Backup!M5</f>
        <v>AI-Industrial</v>
      </c>
      <c r="D6" s="10">
        <f>Backup!N5</f>
        <v>1.866210446</v>
      </c>
      <c r="E6" s="10">
        <f>Backup!O5</f>
        <v>0.06406839036</v>
      </c>
      <c r="F6" s="10">
        <f>Backup!P5</f>
        <v>4.833223729</v>
      </c>
      <c r="G6" s="11">
        <f>Backup!Q5</f>
        <v>-2.467701442</v>
      </c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1"/>
      <c r="B7" s="1"/>
      <c r="C7" s="12" t="str">
        <f>Backup!M6</f>
        <v>Digital Infra</v>
      </c>
      <c r="D7" s="13">
        <f>Backup!N6</f>
        <v>1.029829867</v>
      </c>
      <c r="E7" s="13">
        <f>Backup!O6</f>
        <v>-0.323446431</v>
      </c>
      <c r="F7" s="13">
        <f>Backup!P6</f>
        <v>2.471786091</v>
      </c>
      <c r="G7" s="14">
        <f>Backup!Q6</f>
        <v>-1.121988509</v>
      </c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0" customHeight="1">
      <c r="A8" s="1"/>
      <c r="B8" s="1"/>
      <c r="C8" s="9" t="str">
        <f>Backup!M7</f>
        <v>Experientials</v>
      </c>
      <c r="D8" s="10">
        <f>Backup!N7</f>
        <v>1.477497966</v>
      </c>
      <c r="E8" s="10">
        <f>Backup!O7</f>
        <v>0.1714434004</v>
      </c>
      <c r="F8" s="10">
        <f>Backup!P7</f>
        <v>-1.012121086</v>
      </c>
      <c r="G8" s="11">
        <f>Backup!Q7</f>
        <v>0.5075357647</v>
      </c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0" customHeight="1">
      <c r="A9" s="1"/>
      <c r="B9" s="1"/>
      <c r="C9" s="12" t="str">
        <f>Backup!M8</f>
        <v>Nuclear</v>
      </c>
      <c r="D9" s="13">
        <f>Backup!N8</f>
        <v>0.9820956869</v>
      </c>
      <c r="E9" s="13">
        <f>Backup!O8</f>
        <v>0.4310123514</v>
      </c>
      <c r="F9" s="13">
        <f>Backup!P8</f>
        <v>1.142034737</v>
      </c>
      <c r="G9" s="14">
        <f>Backup!Q8</f>
        <v>0.5188345284</v>
      </c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0" customHeight="1">
      <c r="A10" s="1"/>
      <c r="B10" s="1"/>
      <c r="C10" s="9" t="str">
        <f>Backup!M9</f>
        <v>Payments</v>
      </c>
      <c r="D10" s="10">
        <f>Backup!N9</f>
        <v>1.068929328</v>
      </c>
      <c r="E10" s="10">
        <f>Backup!O9</f>
        <v>0.3543515849</v>
      </c>
      <c r="F10" s="10">
        <f>Backup!P9</f>
        <v>-1.186092605</v>
      </c>
      <c r="G10" s="11">
        <f>Backup!Q9</f>
        <v>1.140571409</v>
      </c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0" customHeight="1">
      <c r="A11" s="1"/>
      <c r="B11" s="1"/>
      <c r="C11" s="9" t="str">
        <f>Backup!M10</f>
        <v>Security</v>
      </c>
      <c r="D11" s="10">
        <f>Backup!N10</f>
        <v>0.8711487154</v>
      </c>
      <c r="E11" s="10">
        <f>Backup!O10</f>
        <v>0.1401243073</v>
      </c>
      <c r="F11" s="10">
        <f>Backup!P10</f>
        <v>0.072693717</v>
      </c>
      <c r="G11" s="11">
        <f>Backup!Q10</f>
        <v>-0.2159613891</v>
      </c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0" customHeight="1">
      <c r="A12" s="1"/>
      <c r="B12" s="1"/>
      <c r="C12" s="9" t="str">
        <f>Backup!M11</f>
        <v>Silver</v>
      </c>
      <c r="D12" s="10">
        <f>Backup!N11</f>
        <v>0.6642116559</v>
      </c>
      <c r="E12" s="10">
        <f>Backup!O11</f>
        <v>0.3170082686</v>
      </c>
      <c r="F12" s="10">
        <f>Backup!P11</f>
        <v>-0.4376106438</v>
      </c>
      <c r="G12" s="11">
        <f>Backup!Q11</f>
        <v>0.09797828368</v>
      </c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0" customHeight="1">
      <c r="A13" s="1"/>
      <c r="B13" s="1"/>
      <c r="C13" s="9" t="str">
        <f>Backup!M12</f>
        <v>Waste</v>
      </c>
      <c r="D13" s="10">
        <f>Backup!N12</f>
        <v>0.8153751967</v>
      </c>
      <c r="E13" s="10">
        <f>Backup!O12</f>
        <v>0.5010585752</v>
      </c>
      <c r="F13" s="10">
        <f>Backup!P12</f>
        <v>-0.4968110102</v>
      </c>
      <c r="G13" s="11">
        <f>Backup!Q12</f>
        <v>-0.1645165917</v>
      </c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0" customHeight="1">
      <c r="A14" s="1"/>
      <c r="B14" s="1"/>
      <c r="C14" s="15" t="str">
        <f>Backup!M13</f>
        <v>Thematic Portfolio (exc SPY)</v>
      </c>
      <c r="D14" s="16">
        <f>Backup!N13</f>
        <v>0.7018496012</v>
      </c>
      <c r="E14" s="16">
        <f>Backup!O13</f>
        <v>0.07900479041</v>
      </c>
      <c r="F14" s="16">
        <f>Backup!P13</f>
        <v>0.5805061295</v>
      </c>
      <c r="G14" s="17">
        <f>Backup!Q13</f>
        <v>-0.2731898151</v>
      </c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2.0" customHeight="1">
      <c r="A15" s="1"/>
      <c r="B15" s="1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2.0" customHeight="1">
      <c r="A16" s="1"/>
      <c r="B16" s="1"/>
      <c r="C16" s="18"/>
      <c r="D16" s="19" t="s">
        <v>0</v>
      </c>
      <c r="E16" s="19" t="s">
        <v>1</v>
      </c>
      <c r="F16" s="19" t="s">
        <v>2</v>
      </c>
      <c r="G16" s="20" t="s">
        <v>3</v>
      </c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2.0" customHeight="1">
      <c r="A17" s="1"/>
      <c r="B17" s="1"/>
      <c r="C17" s="19" t="s">
        <v>4</v>
      </c>
      <c r="D17" s="21">
        <f>'Weekly Return From Factor ETFs'!E3</f>
        <v>0.009995774381</v>
      </c>
      <c r="E17" s="22">
        <v>0.0211</v>
      </c>
      <c r="F17" s="23" t="s">
        <v>5</v>
      </c>
      <c r="G17" s="23" t="s">
        <v>5</v>
      </c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2.0" customHeight="1">
      <c r="A18" s="1"/>
      <c r="B18" s="1"/>
      <c r="C18" s="2"/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2.0" customHeight="1">
      <c r="A19" s="24"/>
      <c r="B19" s="24" t="s">
        <v>6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0" customHeight="1">
      <c r="A21" s="1"/>
      <c r="B21" s="25" t="s">
        <v>7</v>
      </c>
      <c r="C21" s="26" t="s">
        <v>8</v>
      </c>
      <c r="D21" s="26" t="s">
        <v>9</v>
      </c>
      <c r="E21" s="26" t="s">
        <v>1</v>
      </c>
      <c r="F21" s="27" t="s">
        <v>2</v>
      </c>
      <c r="G21" s="28" t="s">
        <v>10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0" customHeight="1">
      <c r="A22" s="1"/>
      <c r="B22" s="29" t="s">
        <v>11</v>
      </c>
      <c r="C22" s="21">
        <f>'Weekly Return From Factor ETFs'!E7</f>
        <v>-0.002529079627</v>
      </c>
      <c r="D22" s="30">
        <f t="shared" ref="D22:F22" si="1">D$14</f>
        <v>0.7018496012</v>
      </c>
      <c r="E22" s="30">
        <f t="shared" si="1"/>
        <v>0.07900479041</v>
      </c>
      <c r="F22" s="31">
        <f t="shared" si="1"/>
        <v>0.5805061295</v>
      </c>
      <c r="G22" s="32">
        <f>G14</f>
        <v>-0.2731898151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2.0" customHeight="1">
      <c r="A23" s="1"/>
      <c r="B23" s="29" t="s">
        <v>12</v>
      </c>
      <c r="C23" s="33"/>
      <c r="D23" s="34">
        <f t="shared" ref="D23:G23" si="2">D$17</f>
        <v>0.009995774381</v>
      </c>
      <c r="E23" s="34">
        <f t="shared" si="2"/>
        <v>0.0211</v>
      </c>
      <c r="F23" s="35" t="str">
        <f t="shared" si="2"/>
        <v>x</v>
      </c>
      <c r="G23" s="35" t="str">
        <f t="shared" si="2"/>
        <v>x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0" customHeight="1">
      <c r="A24" s="1"/>
      <c r="B24" s="29" t="s">
        <v>13</v>
      </c>
      <c r="C24" s="33" t="str">
        <f>SUM(D24:F24)</f>
        <v>#VALUE!</v>
      </c>
      <c r="D24" s="34">
        <f t="shared" ref="D24:G24" si="3">D22*D23</f>
        <v>0.007015530263</v>
      </c>
      <c r="E24" s="34">
        <f t="shared" si="3"/>
        <v>0.001667001078</v>
      </c>
      <c r="F24" s="35" t="str">
        <f t="shared" si="3"/>
        <v>#VALUE!</v>
      </c>
      <c r="G24" s="35" t="str">
        <f t="shared" si="3"/>
        <v>#VALUE!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0" customHeight="1">
      <c r="A25" s="1"/>
      <c r="B25" s="36" t="s">
        <v>14</v>
      </c>
      <c r="C25" s="37" t="str">
        <f>C22-C24</f>
        <v>#VALUE!</v>
      </c>
      <c r="D25" s="38"/>
      <c r="E25" s="38"/>
      <c r="F25" s="3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0" customHeight="1">
      <c r="A27" s="1"/>
      <c r="B27" s="25" t="s">
        <v>15</v>
      </c>
      <c r="C27" s="26" t="s">
        <v>8</v>
      </c>
      <c r="D27" s="26" t="s">
        <v>9</v>
      </c>
      <c r="E27" s="26" t="s">
        <v>1</v>
      </c>
      <c r="F27" s="27" t="s">
        <v>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0" customHeight="1">
      <c r="A28" s="1"/>
      <c r="B28" s="29" t="s">
        <v>11</v>
      </c>
      <c r="C28" s="21">
        <f>'Weekly Return From Factor ETFs'!E8</f>
        <v>-0.0219015911</v>
      </c>
      <c r="D28" s="30">
        <f>D$14-1</f>
        <v>-0.2981503988</v>
      </c>
      <c r="E28" s="30">
        <f t="shared" ref="E28:F28" si="4">E$14</f>
        <v>0.07900479041</v>
      </c>
      <c r="F28" s="31">
        <f t="shared" si="4"/>
        <v>0.5805061295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0" customHeight="1">
      <c r="A29" s="1"/>
      <c r="B29" s="29" t="s">
        <v>12</v>
      </c>
      <c r="C29" s="33"/>
      <c r="D29" s="34">
        <f t="shared" ref="D29:F29" si="5">D$17</f>
        <v>0.009995774381</v>
      </c>
      <c r="E29" s="34">
        <f t="shared" si="5"/>
        <v>0.0211</v>
      </c>
      <c r="F29" s="35" t="str">
        <f t="shared" si="5"/>
        <v>x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0" customHeight="1">
      <c r="A30" s="1"/>
      <c r="B30" s="29" t="s">
        <v>13</v>
      </c>
      <c r="C30" s="33" t="str">
        <f>SUM(D30:F30)</f>
        <v>#VALUE!</v>
      </c>
      <c r="D30" s="34">
        <f t="shared" ref="D30:F30" si="6">D28*D29</f>
        <v>-0.002980244118</v>
      </c>
      <c r="E30" s="34">
        <f t="shared" si="6"/>
        <v>0.001667001078</v>
      </c>
      <c r="F30" s="35" t="str">
        <f t="shared" si="6"/>
        <v>#VALUE!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2.0" customHeight="1">
      <c r="A31" s="1"/>
      <c r="B31" s="36" t="s">
        <v>14</v>
      </c>
      <c r="C31" s="37" t="str">
        <f>C28-C30</f>
        <v>#VALUE!</v>
      </c>
      <c r="D31" s="38"/>
      <c r="E31" s="38"/>
      <c r="F31" s="3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0.14"/>
    <col customWidth="1" min="3" max="3" width="20.29"/>
    <col customWidth="1" min="4" max="4" width="17.86"/>
  </cols>
  <sheetData>
    <row r="1">
      <c r="A1" s="40" t="s">
        <v>16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/>
      <c r="B2" s="41"/>
      <c r="C2" s="41" t="s">
        <v>17</v>
      </c>
      <c r="D2" s="41" t="s">
        <v>18</v>
      </c>
      <c r="E2" s="41" t="s">
        <v>19</v>
      </c>
      <c r="F2" s="42" t="s">
        <v>20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0"/>
      <c r="B3" s="41" t="s">
        <v>21</v>
      </c>
      <c r="C3" s="43">
        <v>686.29</v>
      </c>
      <c r="D3" s="43">
        <v>693.15</v>
      </c>
      <c r="E3" s="44">
        <f t="shared" ref="E3:E5" si="1">D3/C3-1</f>
        <v>0.009995774381</v>
      </c>
      <c r="F3" s="45">
        <f t="shared" ref="F3:F5" si="2">(D3/C3)^(1/(7/365))-1</f>
        <v>0.679708935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0"/>
      <c r="B4" s="41" t="s">
        <v>22</v>
      </c>
      <c r="C4" s="43">
        <v>221.01</v>
      </c>
      <c r="D4" s="43">
        <v>221.58</v>
      </c>
      <c r="E4" s="44">
        <f t="shared" si="1"/>
        <v>0.00257906882</v>
      </c>
      <c r="F4" s="45">
        <f t="shared" si="2"/>
        <v>0.1437437785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0"/>
      <c r="B5" s="41" t="s">
        <v>23</v>
      </c>
      <c r="C5" s="43">
        <v>253.49</v>
      </c>
      <c r="D5" s="43">
        <v>256.38</v>
      </c>
      <c r="E5" s="44">
        <f t="shared" si="1"/>
        <v>0.01140084421</v>
      </c>
      <c r="F5" s="45">
        <f t="shared" si="2"/>
        <v>0.8059908429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0"/>
      <c r="B7" s="46" t="s">
        <v>24</v>
      </c>
      <c r="C7" s="47">
        <v>478241.17</v>
      </c>
      <c r="D7" s="47">
        <v>477031.66</v>
      </c>
      <c r="E7" s="44">
        <f t="shared" ref="E7:E8" si="3">D7/C7-1</f>
        <v>-0.002529079627</v>
      </c>
      <c r="F7" s="45">
        <f>(D7/C7)^(1/(7/365))-1</f>
        <v>-0.1236944773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0"/>
      <c r="B8" s="46" t="s">
        <v>25</v>
      </c>
      <c r="C8" s="40">
        <v>845137.0</v>
      </c>
      <c r="D8" s="40">
        <v>826627.155</v>
      </c>
      <c r="E8" s="44">
        <f t="shared" si="3"/>
        <v>-0.0219015911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0"/>
      <c r="B10" s="40"/>
      <c r="C10" s="40" t="s">
        <v>26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0"/>
      <c r="B11" s="40"/>
      <c r="C11" s="40" t="s">
        <v>27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9.43"/>
    <col customWidth="1" min="3" max="3" width="8.71"/>
    <col customWidth="1" min="4" max="4" width="8.43"/>
    <col customWidth="1" min="6" max="6" width="10.71"/>
    <col customWidth="1" min="7" max="7" width="15.0"/>
    <col customWidth="1" min="8" max="8" width="13.43"/>
    <col customWidth="1" min="9" max="10" width="17.43"/>
    <col customWidth="1" min="11" max="11" width="8.71"/>
    <col customWidth="1" min="12" max="12" width="6.43"/>
    <col customWidth="1" min="13" max="13" width="8.71"/>
    <col customWidth="1" min="14" max="14" width="11.43"/>
    <col customWidth="1" min="15" max="15" width="8.43"/>
    <col customWidth="1" min="16" max="16" width="7.86"/>
    <col customWidth="1" min="17" max="17" width="8.0"/>
    <col customWidth="1" min="18" max="18" width="11.0"/>
    <col customWidth="1" min="19" max="26" width="8.71"/>
  </cols>
  <sheetData>
    <row r="1" ht="12.0" customHeight="1"/>
    <row r="2" ht="12.0" customHeight="1">
      <c r="A2" s="48" t="s">
        <v>28</v>
      </c>
      <c r="B2" s="48" t="s">
        <v>29</v>
      </c>
      <c r="C2" s="49" t="s">
        <v>30</v>
      </c>
      <c r="D2" s="49" t="s">
        <v>31</v>
      </c>
      <c r="E2" s="50" t="str">
        <f>Betas!D1</f>
        <v>beta_market</v>
      </c>
      <c r="F2" s="50" t="str">
        <f>Betas!E1</f>
        <v>beta_value</v>
      </c>
      <c r="G2" s="50" t="str">
        <f>Betas!F1</f>
        <v>beta_momentum</v>
      </c>
      <c r="H2" s="50" t="str">
        <f>Betas!G1</f>
        <v>beta_growth</v>
      </c>
      <c r="I2" s="49" t="s">
        <v>32</v>
      </c>
      <c r="J2" s="49" t="s">
        <v>33</v>
      </c>
      <c r="M2" s="51"/>
      <c r="N2" s="52" t="s">
        <v>34</v>
      </c>
      <c r="O2" s="52" t="s">
        <v>35</v>
      </c>
      <c r="P2" s="52" t="s">
        <v>36</v>
      </c>
      <c r="Q2" s="53" t="s">
        <v>37</v>
      </c>
      <c r="R2" s="54" t="s">
        <v>38</v>
      </c>
    </row>
    <row r="3" ht="12.0" customHeight="1">
      <c r="A3" s="55" t="s">
        <v>39</v>
      </c>
      <c r="B3" s="56" t="s">
        <v>40</v>
      </c>
      <c r="C3" s="54" t="str">
        <f>VLOOKUP(B3,Subsector!$A:$B,2,FALSE)</f>
        <v>Benchmark</v>
      </c>
      <c r="D3" s="57">
        <f>iferror(vlookup(B3,'Portfolio Positions'!$A:$F,4,false),0)</f>
        <v>261442.0046</v>
      </c>
      <c r="E3" s="54">
        <f>iferror(VLOOKUP(B3,Betas!$B:$H,3,FALSE),0)</f>
        <v>0.998</v>
      </c>
      <c r="F3" s="54">
        <f>iferror(VLOOKUP(B3,Betas!$B:$H,4,FALSE),0)</f>
        <v>-0.002</v>
      </c>
      <c r="G3" s="54">
        <f>iferror(VLOOKUP(B3,Betas!$B:$H,5,FALSE),0)</f>
        <v>0.002</v>
      </c>
      <c r="H3" s="54">
        <f>iferror(VLOOKUP(B3,Betas!$B:$H,6,FALSE),0)</f>
        <v>-0.004</v>
      </c>
      <c r="I3" s="58">
        <f t="shared" ref="I3:I67" si="1">D3/SUM($D$3:$D$67)</f>
        <v>0.3833612279</v>
      </c>
      <c r="J3" s="58">
        <f t="shared" ref="J3:J67" si="2">IFERROR(D3 / XLOOKUP(C3, $M:$M, $R:$R), 0)</f>
        <v>0</v>
      </c>
      <c r="M3" s="59"/>
      <c r="N3" s="60"/>
      <c r="O3" s="60"/>
      <c r="P3" s="60"/>
      <c r="Q3" s="61"/>
    </row>
    <row r="4" ht="12.0" customHeight="1">
      <c r="A4" s="62" t="s">
        <v>39</v>
      </c>
      <c r="B4" s="63" t="s">
        <v>41</v>
      </c>
      <c r="C4" s="64" t="str">
        <f>VLOOKUP(B4,Subsector!$A:$B,2,FALSE)</f>
        <v>Silver</v>
      </c>
      <c r="D4" s="57">
        <f>iferror(vlookup(B4,'Portfolio Positions'!$A:$F,4,false),0)</f>
        <v>7356.02</v>
      </c>
      <c r="E4" s="54">
        <f>iferror(VLOOKUP(B4,Betas!$B:$H,3,FALSE),0)</f>
        <v>0.146</v>
      </c>
      <c r="F4" s="54">
        <f>iferror(VLOOKUP(B4,Betas!$B:$H,4,FALSE),0)</f>
        <v>-0.101</v>
      </c>
      <c r="G4" s="54">
        <f>iferror(VLOOKUP(B4,Betas!$B:$H,5,FALSE),0)</f>
        <v>0.123</v>
      </c>
      <c r="H4" s="54">
        <f>iferror(VLOOKUP(B4,Betas!$B:$H,6,FALSE),0)</f>
        <v>0.367</v>
      </c>
      <c r="I4" s="58">
        <f t="shared" si="1"/>
        <v>0.01078638019</v>
      </c>
      <c r="J4" s="58">
        <f t="shared" si="2"/>
        <v>0.1246318955</v>
      </c>
      <c r="M4" s="59" t="s">
        <v>42</v>
      </c>
      <c r="N4" s="65">
        <f t="array" ref="N4">SUMPRODUCT(($C$4:$C$999=M4)*IFERROR($E$4:$E$999*$J$4:$J$999,0))</f>
        <v>1.354</v>
      </c>
      <c r="O4" s="65">
        <f t="array" ref="O4">SUMPRODUCT(($C$4:$C$999=M4)*IFERROR($F$4:$F$999*$J$4:$J$999,0))</f>
        <v>0.812</v>
      </c>
      <c r="P4" s="65">
        <f t="array" ref="P4">SUMPRODUCT(($C$4:$C$999=M4)*IFERROR($H$4:$H$999*$J$4:$J$999,0))</f>
        <v>0.058</v>
      </c>
      <c r="Q4" s="66">
        <f t="array" ref="Q4">SUMPRODUCT(($C$4:$C$999=M4)*IFERROR($H$4:$H$999*$J$4:$J$999,0))</f>
        <v>0.058</v>
      </c>
      <c r="R4" s="67">
        <f t="shared" ref="R4:R12" si="3">SUMIFS($D$3:$D$67,$C$3:$C$67,M4)</f>
        <v>3717.07</v>
      </c>
    </row>
    <row r="5" ht="12.0" customHeight="1">
      <c r="A5" s="62" t="s">
        <v>39</v>
      </c>
      <c r="B5" s="63" t="s">
        <v>43</v>
      </c>
      <c r="C5" s="64" t="str">
        <f>VLOOKUP(B5,Subsector!$A:$B,2,FALSE)</f>
        <v>Experientials</v>
      </c>
      <c r="D5" s="57">
        <f>iferror(vlookup(B5,'Portfolio Positions'!$A:$F,4,false),0)</f>
        <v>8668.51</v>
      </c>
      <c r="E5" s="54">
        <f>iferror(VLOOKUP(B5,Betas!$B:$H,3,FALSE),0)</f>
        <v>1.385</v>
      </c>
      <c r="F5" s="54">
        <f>iferror(VLOOKUP(B5,Betas!$B:$H,4,FALSE),0)</f>
        <v>-0.919</v>
      </c>
      <c r="G5" s="54">
        <f>iferror(VLOOKUP(B5,Betas!$B:$H,5,FALSE),0)</f>
        <v>-1.328</v>
      </c>
      <c r="H5" s="54">
        <f>iferror(VLOOKUP(B5,Betas!$B:$H,6,FALSE),0)</f>
        <v>-0.005</v>
      </c>
      <c r="I5" s="58">
        <f t="shared" si="1"/>
        <v>0.01271092854</v>
      </c>
      <c r="J5" s="58">
        <f t="shared" si="2"/>
        <v>0.1138083199</v>
      </c>
      <c r="M5" s="59" t="s">
        <v>44</v>
      </c>
      <c r="N5" s="65">
        <f t="array" ref="N5">SUMPRODUCT(($C$4:$C$999=M5)*IFERROR($E$4:$E$999*$J$4:$J$999,0))</f>
        <v>1.866210446</v>
      </c>
      <c r="O5" s="65">
        <f t="array" ref="O5">SUMPRODUCT(($C$4:$C$999=M5)*IFERROR($F$4:$F$999*$J$4:$J$999,0))</f>
        <v>0.06406839036</v>
      </c>
      <c r="P5" s="65">
        <f t="array" ref="P5">SUMPRODUCT(($C$4:$C$999=M5)*IFERROR($G$4:$G$999*$J$4:$J$999,0))</f>
        <v>4.833223729</v>
      </c>
      <c r="Q5" s="66">
        <f t="array" ref="Q5">SUMPRODUCT(($C$4:$C$999=M5)*IFERROR($H$4:$H$999*$J$4:$J$999,0))</f>
        <v>-2.467701442</v>
      </c>
      <c r="R5" s="67">
        <f t="shared" si="3"/>
        <v>57549.63</v>
      </c>
    </row>
    <row r="6" ht="12.0" customHeight="1">
      <c r="A6" s="62" t="s">
        <v>39</v>
      </c>
      <c r="B6" s="63" t="s">
        <v>45</v>
      </c>
      <c r="C6" s="64" t="str">
        <f>VLOOKUP(B6,Subsector!$A:$B,2,FALSE)</f>
        <v>Silver</v>
      </c>
      <c r="D6" s="57">
        <f>iferror(vlookup(B6,'Portfolio Positions'!$A:$F,4,false),0)</f>
        <v>3401.19</v>
      </c>
      <c r="E6" s="54">
        <f>iferror(VLOOKUP(B6,Betas!$B:$H,3,FALSE),0)</f>
        <v>0.649</v>
      </c>
      <c r="F6" s="54">
        <f>iferror(VLOOKUP(B6,Betas!$B:$H,4,FALSE),0)</f>
        <v>0.68</v>
      </c>
      <c r="G6" s="54">
        <f>iferror(VLOOKUP(B6,Betas!$B:$H,5,FALSE),0)</f>
        <v>-0.548</v>
      </c>
      <c r="H6" s="54">
        <f>iferror(VLOOKUP(B6,Betas!$B:$H,6,FALSE),0)</f>
        <v>0.372</v>
      </c>
      <c r="I6" s="58">
        <f t="shared" si="1"/>
        <v>0.004987279595</v>
      </c>
      <c r="J6" s="58">
        <f t="shared" si="2"/>
        <v>0.05762582984</v>
      </c>
      <c r="M6" s="59" t="s">
        <v>46</v>
      </c>
      <c r="N6" s="65">
        <f t="array" ref="N6">SUMPRODUCT(($C$4:$C$999=M6)*IFERROR($E$4:$E$999*$J$4:$J$999,0))</f>
        <v>1.029829867</v>
      </c>
      <c r="O6" s="65">
        <f t="array" ref="O6">SUMPRODUCT(($C$4:$C$999=M6)*IFERROR($F$4:$F$999*$J$4:$J$999,0))</f>
        <v>-0.323446431</v>
      </c>
      <c r="P6" s="65">
        <f t="array" ref="P6">SUMPRODUCT(($C$4:$C$999=M6)*IFERROR($G$4:$G$999*$J$4:$J$999,0))</f>
        <v>2.471786091</v>
      </c>
      <c r="Q6" s="66">
        <f t="array" ref="Q6">SUMPRODUCT(($C$4:$C$999=M6)*IFERROR($H$4:$H$999*$J$4:$J$999,0))</f>
        <v>-1.121988509</v>
      </c>
      <c r="R6" s="67">
        <f t="shared" si="3"/>
        <v>96621.6</v>
      </c>
    </row>
    <row r="7" ht="12.0" customHeight="1">
      <c r="A7" s="62" t="s">
        <v>39</v>
      </c>
      <c r="B7" s="63" t="s">
        <v>47</v>
      </c>
      <c r="C7" s="64" t="str">
        <f>VLOOKUP(B7,Subsector!$A:$B,2,FALSE)</f>
        <v>Silver</v>
      </c>
      <c r="D7" s="57">
        <f>iferror(vlookup(B7,'Portfolio Positions'!$A:$F,4,false),0)</f>
        <v>4805.23</v>
      </c>
      <c r="E7" s="54">
        <f>iferror(VLOOKUP(B7,Betas!$B:$H,3,FALSE),0)</f>
        <v>0.679</v>
      </c>
      <c r="F7" s="54">
        <f>iferror(VLOOKUP(B7,Betas!$B:$H,4,FALSE),0)</f>
        <v>1.071</v>
      </c>
      <c r="G7" s="54">
        <f>iferror(VLOOKUP(B7,Betas!$B:$H,5,FALSE),0)</f>
        <v>-0.478</v>
      </c>
      <c r="H7" s="54">
        <f>iferror(VLOOKUP(B7,Betas!$B:$H,6,FALSE),0)</f>
        <v>0.218</v>
      </c>
      <c r="I7" s="58">
        <f t="shared" si="1"/>
        <v>0.007046070795</v>
      </c>
      <c r="J7" s="58">
        <f t="shared" si="2"/>
        <v>0.08141425981</v>
      </c>
      <c r="M7" s="59" t="s">
        <v>48</v>
      </c>
      <c r="N7" s="65">
        <f t="array" ref="N7">SUMPRODUCT(($C$4:$C$999=M7)*IFERROR($E$4:$E$999*$J$4:$J$999,0))</f>
        <v>1.477497966</v>
      </c>
      <c r="O7" s="65">
        <f t="array" ref="O7">SUMPRODUCT(($C$4:$C$999=M7)*IFERROR($F$4:$F$999*$J$4:$J$999,0))</f>
        <v>0.1714434004</v>
      </c>
      <c r="P7" s="65">
        <f t="array" ref="P7">SUMPRODUCT(($C$4:$C$999=M7)*IFERROR($G$4:$G$999*$J$4:$J$999,0))</f>
        <v>-1.012121086</v>
      </c>
      <c r="Q7" s="66">
        <f t="array" ref="Q7">SUMPRODUCT(($C$4:$C$999=M7)*IFERROR($H$4:$H$999*$J$4:$J$999,0))</f>
        <v>0.5075357647</v>
      </c>
      <c r="R7" s="67">
        <f t="shared" si="3"/>
        <v>76167.63</v>
      </c>
    </row>
    <row r="8" ht="12.0" customHeight="1">
      <c r="A8" s="62" t="s">
        <v>39</v>
      </c>
      <c r="B8" s="63" t="s">
        <v>49</v>
      </c>
      <c r="C8" s="64" t="str">
        <f>VLOOKUP(B8,Subsector!$A:$B,2,FALSE)</f>
        <v>Security</v>
      </c>
      <c r="D8" s="57">
        <f>iferror(vlookup(B8,'Portfolio Positions'!$A:$F,4,false),0)</f>
        <v>6684.08</v>
      </c>
      <c r="E8" s="54">
        <f>iferror(VLOOKUP(B8,Betas!$B:$H,3,FALSE),0)</f>
        <v>1.214</v>
      </c>
      <c r="F8" s="54">
        <f>iferror(VLOOKUP(B8,Betas!$B:$H,4,FALSE),0)</f>
        <v>-0.703</v>
      </c>
      <c r="G8" s="54">
        <f>iferror(VLOOKUP(B8,Betas!$B:$H,5,FALSE),0)</f>
        <v>-1.395</v>
      </c>
      <c r="H8" s="54">
        <f>iferror(VLOOKUP(B8,Betas!$B:$H,6,FALSE),0)</f>
        <v>0.004</v>
      </c>
      <c r="I8" s="58">
        <f t="shared" si="1"/>
        <v>0.00980109191</v>
      </c>
      <c r="J8" s="58">
        <f t="shared" si="2"/>
        <v>0.1909458362</v>
      </c>
      <c r="M8" s="59" t="s">
        <v>50</v>
      </c>
      <c r="N8" s="65">
        <f t="array" ref="N8">SUMPRODUCT(($C$4:$C$999=M8)*IFERROR($E$4:$E$999*$J$4:$J$999,0))</f>
        <v>0.9820956869</v>
      </c>
      <c r="O8" s="65">
        <f t="array" ref="O8">SUMPRODUCT(($C$4:$C$999=M8)*IFERROR($F$4:$F$999*$J$4:$J$999,0))</f>
        <v>0.4310123514</v>
      </c>
      <c r="P8" s="65">
        <f t="array" ref="P8">SUMPRODUCT(($C$4:$C$999=M8)*IFERROR($G$4:$G$999*$J$4:$J$999,0))</f>
        <v>1.142034737</v>
      </c>
      <c r="Q8" s="66">
        <f t="array" ref="Q8">SUMPRODUCT(($C$4:$C$999=M8)*IFERROR($H$4:$H$999*$J$4:$J$999,0))</f>
        <v>0.5188345284</v>
      </c>
      <c r="R8" s="67">
        <f t="shared" si="3"/>
        <v>26115.18</v>
      </c>
    </row>
    <row r="9" ht="12.0" customHeight="1">
      <c r="A9" s="62" t="s">
        <v>39</v>
      </c>
      <c r="B9" s="63" t="s">
        <v>51</v>
      </c>
      <c r="C9" s="64" t="str">
        <f>VLOOKUP(B9,Subsector!$A:$B,2,FALSE)</f>
        <v>Silver</v>
      </c>
      <c r="D9" s="57">
        <f>iferror(vlookup(B9,'Portfolio Positions'!$A:$F,4,false),0)</f>
        <v>8255.2</v>
      </c>
      <c r="E9" s="54">
        <f>iferror(VLOOKUP(B9,Betas!$B:$H,3,FALSE),0)</f>
        <v>0.85</v>
      </c>
      <c r="F9" s="54">
        <f>iferror(VLOOKUP(B9,Betas!$B:$H,4,FALSE),0)</f>
        <v>0.256</v>
      </c>
      <c r="G9" s="54">
        <f>iferror(VLOOKUP(B9,Betas!$B:$H,5,FALSE),0)</f>
        <v>-0.659</v>
      </c>
      <c r="H9" s="54">
        <f>iferror(VLOOKUP(B9,Betas!$B:$H,6,FALSE),0)</f>
        <v>-0.061</v>
      </c>
      <c r="I9" s="58">
        <f t="shared" si="1"/>
        <v>0.01210487815</v>
      </c>
      <c r="J9" s="58">
        <f t="shared" si="2"/>
        <v>0.1398665616</v>
      </c>
      <c r="M9" s="59" t="s">
        <v>52</v>
      </c>
      <c r="N9" s="65">
        <f t="array" ref="N9">SUMPRODUCT(($C$4:$C$999=M9)*IFERROR($E$4:$E$999*$J$4:$J$999,0))</f>
        <v>1.068929328</v>
      </c>
      <c r="O9" s="65">
        <f t="array" ref="O9">SUMPRODUCT(($C$4:$C$999=M9)*IFERROR($F$4:$F$999*$J$4:$J$999,0))</f>
        <v>0.3543515849</v>
      </c>
      <c r="P9" s="65">
        <f t="array" ref="P9">SUMPRODUCT(($C$4:$C$999=M9)*IFERROR($G$4:$G$999*$J$4:$J$999,0))</f>
        <v>-1.186092605</v>
      </c>
      <c r="Q9" s="66">
        <f t="array" ref="Q9">SUMPRODUCT(($C$4:$C$999=M9)*IFERROR($H$4:$H$999*$J$4:$J$999,0))</f>
        <v>1.140571409</v>
      </c>
      <c r="R9" s="67">
        <f t="shared" si="3"/>
        <v>18682.6</v>
      </c>
    </row>
    <row r="10" ht="12.0" customHeight="1">
      <c r="A10" s="62" t="s">
        <v>39</v>
      </c>
      <c r="B10" s="63" t="s">
        <v>53</v>
      </c>
      <c r="C10" s="64" t="str">
        <f>VLOOKUP(B10,Subsector!$A:$B,2,FALSE)</f>
        <v>Digital Infra</v>
      </c>
      <c r="D10" s="57">
        <f>iferror(vlookup(B10,'Portfolio Positions'!$A:$F,4,false),0)</f>
        <v>7319.96</v>
      </c>
      <c r="E10" s="54">
        <f>iferror(VLOOKUP(B10,Betas!$B:$H,3,FALSE),0)</f>
        <v>2.777</v>
      </c>
      <c r="F10" s="54">
        <f>iferror(VLOOKUP(B10,Betas!$B:$H,4,FALSE),0)</f>
        <v>-2.63</v>
      </c>
      <c r="G10" s="54">
        <f>iferror(VLOOKUP(B10,Betas!$B:$H,5,FALSE),0)</f>
        <v>7.152</v>
      </c>
      <c r="H10" s="54">
        <f>iferror(VLOOKUP(B10,Betas!$B:$H,6,FALSE),0)</f>
        <v>-5.54</v>
      </c>
      <c r="I10" s="58">
        <f t="shared" si="1"/>
        <v>0.0107335042</v>
      </c>
      <c r="J10" s="58">
        <f t="shared" si="2"/>
        <v>0.07575904353</v>
      </c>
      <c r="M10" s="59" t="s">
        <v>54</v>
      </c>
      <c r="N10" s="65">
        <f t="array" ref="N10">SUMPRODUCT(($C$4:$C$999=M10)*IFERROR($E$4:$E$999*$J$4:$J$999,0))</f>
        <v>0.8711487154</v>
      </c>
      <c r="O10" s="65">
        <f t="array" ref="O10">SUMPRODUCT(($C$4:$C$999=M10)*IFERROR($F$4:$F$999*$J$4:$J$999,0))</f>
        <v>0.1401243073</v>
      </c>
      <c r="P10" s="65">
        <f t="array" ref="P10">SUMPRODUCT(($C$4:$C$999=M10)*IFERROR($G$4:$G$999*$J$4:$J$999,0))</f>
        <v>0.072693717</v>
      </c>
      <c r="Q10" s="66">
        <f t="array" ref="Q10">SUMPRODUCT(($C$4:$C$999=M10)*IFERROR($H$4:$H$999*$J$4:$J$999,0))</f>
        <v>-0.2159613891</v>
      </c>
      <c r="R10" s="67">
        <f t="shared" si="3"/>
        <v>35005.11</v>
      </c>
    </row>
    <row r="11" ht="12.0" customHeight="1">
      <c r="A11" s="62" t="s">
        <v>39</v>
      </c>
      <c r="B11" s="63" t="s">
        <v>55</v>
      </c>
      <c r="C11" s="64" t="str">
        <f>VLOOKUP(B11,Subsector!$A:$B,2,FALSE)</f>
        <v>Digital Infra</v>
      </c>
      <c r="D11" s="57">
        <f>iferror(vlookup(B11,'Portfolio Positions'!$A:$F,4,false),0)</f>
        <v>8559.58</v>
      </c>
      <c r="E11" s="54">
        <f>iferror(VLOOKUP(B11,Betas!$B:$H,3,FALSE),0)</f>
        <v>-0.196</v>
      </c>
      <c r="F11" s="54">
        <f>iferror(VLOOKUP(B11,Betas!$B:$H,4,FALSE),0)</f>
        <v>0.175</v>
      </c>
      <c r="G11" s="54">
        <f>iferror(VLOOKUP(B11,Betas!$B:$H,5,FALSE),0)</f>
        <v>-0.837</v>
      </c>
      <c r="H11" s="54">
        <f>iferror(VLOOKUP(B11,Betas!$B:$H,6,FALSE),0)</f>
        <v>0.233</v>
      </c>
      <c r="I11" s="58">
        <f t="shared" si="1"/>
        <v>0.01255120081</v>
      </c>
      <c r="J11" s="58">
        <f t="shared" si="2"/>
        <v>0.08858867996</v>
      </c>
      <c r="M11" s="59" t="s">
        <v>56</v>
      </c>
      <c r="N11" s="65">
        <f t="array" ref="N11">SUMPRODUCT(($C$4:$C$999=M11)*IFERROR($E$4:$E$999*$J$4:$J$999,0))</f>
        <v>0.6642116559</v>
      </c>
      <c r="O11" s="65">
        <f t="array" ref="O11">SUMPRODUCT(($C$4:$C$999=M11)*IFERROR($F$4:$F$999*$J$4:$J$999,0))</f>
        <v>0.3170082686</v>
      </c>
      <c r="P11" s="65">
        <f t="array" ref="P11">SUMPRODUCT(($C$4:$C$999=M11)*IFERROR($G$4:$G$999*$J$4:$J$999,0))</f>
        <v>-0.4376106438</v>
      </c>
      <c r="Q11" s="66">
        <f t="array" ref="Q11">SUMPRODUCT(($C$4:$C$999=M11)*IFERROR($H$4:$H$999*$J$4:$J$999,0))</f>
        <v>0.09797828368</v>
      </c>
      <c r="R11" s="67">
        <f t="shared" si="3"/>
        <v>59021.97</v>
      </c>
    </row>
    <row r="12" ht="12.0" customHeight="1">
      <c r="A12" s="62" t="s">
        <v>39</v>
      </c>
      <c r="B12" s="63" t="s">
        <v>57</v>
      </c>
      <c r="C12" s="64" t="str">
        <f>VLOOKUP(B12,Subsector!$A:$B,2,FALSE)</f>
        <v>Payments</v>
      </c>
      <c r="D12" s="57">
        <f>iferror(vlookup(B12,'Portfolio Positions'!$A:$F,4,false),0)</f>
        <v>3886.98</v>
      </c>
      <c r="E12" s="54">
        <f>iferror(VLOOKUP(B12,Betas!$B:$H,3,FALSE),0)</f>
        <v>1.65</v>
      </c>
      <c r="F12" s="54">
        <f>iferror(VLOOKUP(B12,Betas!$B:$H,4,FALSE),0)</f>
        <v>0.683</v>
      </c>
      <c r="G12" s="54">
        <f>iferror(VLOOKUP(B12,Betas!$B:$H,5,FALSE),0)</f>
        <v>-0.967</v>
      </c>
      <c r="H12" s="54">
        <f>iferror(VLOOKUP(B12,Betas!$B:$H,6,FALSE),0)</f>
        <v>0.534</v>
      </c>
      <c r="I12" s="58">
        <f t="shared" si="1"/>
        <v>0.005699609854</v>
      </c>
      <c r="J12" s="58">
        <f t="shared" si="2"/>
        <v>0.2080534829</v>
      </c>
      <c r="M12" s="59" t="s">
        <v>58</v>
      </c>
      <c r="N12" s="65">
        <f t="array" ref="N12">SUMPRODUCT(($C$4:$C$999=M12)*IFERROR($E$4:$E$999*$J$4:$J$999,0))</f>
        <v>0.8153751967</v>
      </c>
      <c r="O12" s="65">
        <f t="array" ref="O12">SUMPRODUCT(($C$4:$C$999=M12)*IFERROR($F$4:$F$999*$J$4:$J$999,0))</f>
        <v>0.5010585752</v>
      </c>
      <c r="P12" s="65">
        <f t="array" ref="P12">SUMPRODUCT(($C$4:$C$999=M12)*IFERROR($G$4:$G$999*$J$4:$J$999,0))</f>
        <v>-0.4968110102</v>
      </c>
      <c r="Q12" s="66">
        <f t="array" ref="Q12">SUMPRODUCT(($C$4:$C$999=M12)*IFERROR($H$4:$H$999*$J$4:$J$999,0))</f>
        <v>-0.1645165917</v>
      </c>
      <c r="R12" s="67">
        <f t="shared" si="3"/>
        <v>47650.2</v>
      </c>
    </row>
    <row r="13" ht="12.0" customHeight="1">
      <c r="A13" s="62" t="s">
        <v>39</v>
      </c>
      <c r="B13" s="63" t="s">
        <v>59</v>
      </c>
      <c r="C13" s="64" t="str">
        <f>VLOOKUP(B13,Subsector!$A:$B,2,FALSE)</f>
        <v>AI-Industrial</v>
      </c>
      <c r="D13" s="57">
        <f>iferror(vlookup(B13,'Portfolio Positions'!$A:$F,4,false),0)</f>
        <v>3730.5</v>
      </c>
      <c r="E13" s="54">
        <f>iferror(VLOOKUP(B13,Betas!$B:$H,3,FALSE),0)</f>
        <v>1.068</v>
      </c>
      <c r="F13" s="54">
        <f>iferror(VLOOKUP(B13,Betas!$B:$H,4,FALSE),0)</f>
        <v>0.537</v>
      </c>
      <c r="G13" s="54">
        <f>iferror(VLOOKUP(B13,Betas!$B:$H,5,FALSE),0)</f>
        <v>0.874</v>
      </c>
      <c r="H13" s="54">
        <f>iferror(VLOOKUP(B13,Betas!$B:$H,6,FALSE),0)</f>
        <v>-0.997</v>
      </c>
      <c r="I13" s="58">
        <f t="shared" si="1"/>
        <v>0.005470157953</v>
      </c>
      <c r="J13" s="58">
        <f t="shared" si="2"/>
        <v>0.06482231076</v>
      </c>
      <c r="M13" s="68" t="s">
        <v>60</v>
      </c>
      <c r="N13" s="69">
        <f t="shared" ref="N13:Q13" si="4">SUMPRODUCT(E4:E67,$I$4:$I$67)</f>
        <v>0.7018496012</v>
      </c>
      <c r="O13" s="69">
        <f t="shared" si="4"/>
        <v>0.07900479041</v>
      </c>
      <c r="P13" s="69">
        <f t="shared" si="4"/>
        <v>0.5805061295</v>
      </c>
      <c r="Q13" s="70">
        <f t="shared" si="4"/>
        <v>-0.2731898151</v>
      </c>
      <c r="R13" s="67">
        <f>SUM(R4:R12)</f>
        <v>420530.99</v>
      </c>
    </row>
    <row r="14" ht="12.0" customHeight="1">
      <c r="A14" s="62" t="s">
        <v>39</v>
      </c>
      <c r="B14" s="63" t="s">
        <v>61</v>
      </c>
      <c r="C14" s="64" t="str">
        <f>VLOOKUP(B14,Subsector!$A:$B,2,FALSE)</f>
        <v>AI-Industrial</v>
      </c>
      <c r="D14" s="57">
        <f>iferror(vlookup(B14,'Portfolio Positions'!$A:$F,4,false),0)</f>
        <v>2559.38</v>
      </c>
      <c r="E14" s="54">
        <f>iferror(VLOOKUP(B14,Betas!$B:$H,3,FALSE),0)</f>
        <v>3.276</v>
      </c>
      <c r="F14" s="54">
        <f>iferror(VLOOKUP(B14,Betas!$B:$H,4,FALSE),0)</f>
        <v>0.624</v>
      </c>
      <c r="G14" s="54">
        <f>iferror(VLOOKUP(B14,Betas!$B:$H,5,FALSE),0)</f>
        <v>7.641</v>
      </c>
      <c r="H14" s="54">
        <f>iferror(VLOOKUP(B14,Betas!$B:$H,6,FALSE),0)</f>
        <v>-2.32</v>
      </c>
      <c r="I14" s="58">
        <f t="shared" si="1"/>
        <v>0.003752905203</v>
      </c>
      <c r="J14" s="58">
        <f t="shared" si="2"/>
        <v>0.04447257089</v>
      </c>
    </row>
    <row r="15" ht="12.0" customHeight="1">
      <c r="A15" s="62" t="s">
        <v>39</v>
      </c>
      <c r="B15" s="63" t="s">
        <v>62</v>
      </c>
      <c r="C15" s="64" t="str">
        <f>VLOOKUP(B15,Subsector!$A:$B,2,FALSE)</f>
        <v>Nuclear</v>
      </c>
      <c r="D15" s="57">
        <f>iferror(vlookup(B15,'Portfolio Positions'!$A:$F,4,false),0)</f>
        <v>9666.52</v>
      </c>
      <c r="E15" s="54">
        <f>iferror(VLOOKUP(B15,Betas!$B:$H,3,FALSE),0)</f>
        <v>1.447</v>
      </c>
      <c r="F15" s="54">
        <f>iferror(VLOOKUP(B15,Betas!$B:$H,4,FALSE),0)</f>
        <v>-0.268</v>
      </c>
      <c r="G15" s="54">
        <f>iferror(VLOOKUP(B15,Betas!$B:$H,5,FALSE),0)</f>
        <v>2.956</v>
      </c>
      <c r="H15" s="54">
        <f>iferror(VLOOKUP(B15,Betas!$B:$H,6,FALSE),0)</f>
        <v>-0.298</v>
      </c>
      <c r="I15" s="58">
        <f t="shared" si="1"/>
        <v>0.01417434426</v>
      </c>
      <c r="J15" s="58">
        <f t="shared" si="2"/>
        <v>0.3701494686</v>
      </c>
    </row>
    <row r="16" ht="12.0" customHeight="1">
      <c r="A16" s="62" t="s">
        <v>39</v>
      </c>
      <c r="B16" s="63" t="s">
        <v>63</v>
      </c>
      <c r="C16" s="64" t="str">
        <f>VLOOKUP(B16,Subsector!$A:$B,2,FALSE)</f>
        <v>Digital Infra</v>
      </c>
      <c r="D16" s="57">
        <f>iferror(vlookup(B16,'Portfolio Positions'!$A:$F,4,false),0)</f>
        <v>16162.92</v>
      </c>
      <c r="E16" s="54">
        <f>iferror(VLOOKUP(B16,Betas!$B:$H,3,FALSE),0)</f>
        <v>1.25</v>
      </c>
      <c r="F16" s="54">
        <f>iferror(VLOOKUP(B16,Betas!$B:$H,4,FALSE),0)</f>
        <v>-0.803</v>
      </c>
      <c r="G16" s="54">
        <f>iferror(VLOOKUP(B16,Betas!$B:$H,5,FALSE),0)</f>
        <v>6.63</v>
      </c>
      <c r="H16" s="54">
        <f>iferror(VLOOKUP(B16,Betas!$B:$H,6,FALSE),0)</f>
        <v>-2.335</v>
      </c>
      <c r="I16" s="58">
        <f t="shared" si="1"/>
        <v>0.02370023466</v>
      </c>
      <c r="J16" s="58">
        <f t="shared" si="2"/>
        <v>0.1672806081</v>
      </c>
    </row>
    <row r="17" ht="12.0" customHeight="1">
      <c r="A17" s="62" t="s">
        <v>39</v>
      </c>
      <c r="B17" s="63" t="s">
        <v>64</v>
      </c>
      <c r="C17" s="64" t="str">
        <f>VLOOKUP(B17,Subsector!$A:$B,2,FALSE)</f>
        <v>Waste</v>
      </c>
      <c r="D17" s="57">
        <f>iferror(vlookup(B17,'Portfolio Positions'!$A:$F,4,false),0)</f>
        <v>9739.28</v>
      </c>
      <c r="E17" s="54">
        <f>iferror(VLOOKUP(B17,Betas!$B:$H,3,FALSE),0)</f>
        <v>1.164</v>
      </c>
      <c r="F17" s="54">
        <f>iferror(VLOOKUP(B17,Betas!$B:$H,4,FALSE),0)</f>
        <v>0.274</v>
      </c>
      <c r="G17" s="54">
        <f>iferror(VLOOKUP(B17,Betas!$B:$H,5,FALSE),0)</f>
        <v>-0.187</v>
      </c>
      <c r="H17" s="54">
        <f>iferror(VLOOKUP(B17,Betas!$B:$H,6,FALSE),0)</f>
        <v>-0.446</v>
      </c>
      <c r="I17" s="58">
        <f t="shared" si="1"/>
        <v>0.0142810347</v>
      </c>
      <c r="J17" s="58">
        <f t="shared" si="2"/>
        <v>0.2043911673</v>
      </c>
    </row>
    <row r="18" ht="12.0" customHeight="1">
      <c r="A18" s="62" t="s">
        <v>39</v>
      </c>
      <c r="B18" s="63" t="s">
        <v>65</v>
      </c>
      <c r="C18" s="64" t="str">
        <f>VLOOKUP(B18,Subsector!$A:$B,2,FALSE)</f>
        <v>AI-Industrial</v>
      </c>
      <c r="D18" s="57">
        <f>iferror(vlookup(B18,'Portfolio Positions'!$A:$F,4,false),0)</f>
        <v>0</v>
      </c>
      <c r="E18" s="54">
        <f>iferror(VLOOKUP(B18,Betas!$B:$H,3,FALSE),0)</f>
        <v>0</v>
      </c>
      <c r="F18" s="54">
        <f>iferror(VLOOKUP(B18,Betas!$B:$H,4,FALSE),0)</f>
        <v>0</v>
      </c>
      <c r="G18" s="54">
        <f>iferror(VLOOKUP(B18,Betas!$B:$H,5,FALSE),0)</f>
        <v>0</v>
      </c>
      <c r="H18" s="54">
        <f>iferror(VLOOKUP(B18,Betas!$B:$H,6,FALSE),0)</f>
        <v>0</v>
      </c>
      <c r="I18" s="58">
        <f t="shared" si="1"/>
        <v>0</v>
      </c>
      <c r="J18" s="58">
        <f t="shared" si="2"/>
        <v>0</v>
      </c>
    </row>
    <row r="19" ht="12.0" customHeight="1">
      <c r="A19" s="62" t="s">
        <v>39</v>
      </c>
      <c r="B19" s="63" t="s">
        <v>66</v>
      </c>
      <c r="C19" s="64" t="str">
        <f>VLOOKUP(B19,Subsector!$A:$B,2,FALSE)</f>
        <v>Waste</v>
      </c>
      <c r="D19" s="57">
        <f>iferror(vlookup(B19,'Portfolio Positions'!$A:$F,4,false),0)</f>
        <v>13275.84</v>
      </c>
      <c r="E19" s="54">
        <f>iferror(VLOOKUP(B19,Betas!$B:$H,3,FALSE),0)</f>
        <v>1.172</v>
      </c>
      <c r="F19" s="54">
        <f>iferror(VLOOKUP(B19,Betas!$B:$H,4,FALSE),0)</f>
        <v>1.257</v>
      </c>
      <c r="G19" s="54">
        <f>iferror(VLOOKUP(B19,Betas!$B:$H,5,FALSE),0)</f>
        <v>0.394</v>
      </c>
      <c r="H19" s="54">
        <f>iferror(VLOOKUP(B19,Betas!$B:$H,6,FALSE),0)</f>
        <v>-0.48</v>
      </c>
      <c r="I19" s="58">
        <f t="shared" si="1"/>
        <v>0.01946681189</v>
      </c>
      <c r="J19" s="58">
        <f t="shared" si="2"/>
        <v>0.2786103731</v>
      </c>
    </row>
    <row r="20" ht="12.0" customHeight="1">
      <c r="A20" s="62" t="s">
        <v>39</v>
      </c>
      <c r="B20" s="63" t="s">
        <v>67</v>
      </c>
      <c r="C20" s="64" t="str">
        <f>VLOOKUP(B20,Subsector!$A:$B,2,FALSE)</f>
        <v>Digital Infra</v>
      </c>
      <c r="D20" s="57">
        <f>iferror(vlookup(B20,'Portfolio Positions'!$A:$F,4,false),0)</f>
        <v>8401.08</v>
      </c>
      <c r="E20" s="54">
        <f>iferror(VLOOKUP(B20,Betas!$B:$H,3,FALSE),0)</f>
        <v>0.317</v>
      </c>
      <c r="F20" s="54">
        <f>iferror(VLOOKUP(B20,Betas!$B:$H,4,FALSE),0)</f>
        <v>-1.028</v>
      </c>
      <c r="G20" s="54">
        <f>iferror(VLOOKUP(B20,Betas!$B:$H,5,FALSE),0)</f>
        <v>1.474</v>
      </c>
      <c r="H20" s="54">
        <f>iferror(VLOOKUP(B20,Betas!$B:$H,6,FALSE),0)</f>
        <v>-2.872</v>
      </c>
      <c r="I20" s="58">
        <f t="shared" si="1"/>
        <v>0.01231878691</v>
      </c>
      <c r="J20" s="58">
        <f t="shared" si="2"/>
        <v>0.08694826002</v>
      </c>
    </row>
    <row r="21" ht="12.0" customHeight="1">
      <c r="A21" s="62" t="s">
        <v>39</v>
      </c>
      <c r="B21" s="63" t="s">
        <v>68</v>
      </c>
      <c r="C21" s="64" t="str">
        <f>VLOOKUP(B21,Subsector!$A:$B,2,FALSE)</f>
        <v>Adtech</v>
      </c>
      <c r="D21" s="57">
        <f>iferror(vlookup(B21,'Portfolio Positions'!$A:$F,4,false),0)</f>
        <v>3717.07</v>
      </c>
      <c r="E21" s="54">
        <f>iferror(VLOOKUP(B21,Betas!$B:$H,3,FALSE),0)</f>
        <v>1.354</v>
      </c>
      <c r="F21" s="54">
        <f>iferror(VLOOKUP(B21,Betas!$B:$H,4,FALSE),0)</f>
        <v>0.812</v>
      </c>
      <c r="G21" s="54">
        <f>iferror(VLOOKUP(B21,Betas!$B:$H,5,FALSE),0)</f>
        <v>-1.266</v>
      </c>
      <c r="H21" s="54">
        <f>iferror(VLOOKUP(B21,Betas!$B:$H,6,FALSE),0)</f>
        <v>0.058</v>
      </c>
      <c r="I21" s="58">
        <f t="shared" si="1"/>
        <v>0.005450465091</v>
      </c>
      <c r="J21" s="58">
        <f t="shared" si="2"/>
        <v>1</v>
      </c>
    </row>
    <row r="22" ht="12.0" customHeight="1">
      <c r="A22" s="62" t="s">
        <v>39</v>
      </c>
      <c r="B22" s="63" t="s">
        <v>69</v>
      </c>
      <c r="C22" s="64" t="str">
        <f>VLOOKUP(B22,Subsector!$A:$B,2,FALSE)</f>
        <v>Digital Infra</v>
      </c>
      <c r="D22" s="57">
        <f>iferror(vlookup(B22,'Portfolio Positions'!$A:$F,4,false),0)</f>
        <v>8740.47</v>
      </c>
      <c r="E22" s="54">
        <f>iferror(VLOOKUP(B22,Betas!$B:$H,3,FALSE),0)</f>
        <v>0.802</v>
      </c>
      <c r="F22" s="54">
        <f>iferror(VLOOKUP(B22,Betas!$B:$H,4,FALSE),0)</f>
        <v>0.013</v>
      </c>
      <c r="G22" s="54">
        <f>iferror(VLOOKUP(B22,Betas!$B:$H,5,FALSE),0)</f>
        <v>0.568</v>
      </c>
      <c r="H22" s="54">
        <f>iferror(VLOOKUP(B22,Betas!$B:$H,6,FALSE),0)</f>
        <v>-0.188</v>
      </c>
      <c r="I22" s="58">
        <f t="shared" si="1"/>
        <v>0.01281644591</v>
      </c>
      <c r="J22" s="58">
        <f t="shared" si="2"/>
        <v>0.09046082863</v>
      </c>
    </row>
    <row r="23" ht="12.0" customHeight="1">
      <c r="A23" s="62" t="s">
        <v>39</v>
      </c>
      <c r="B23" s="63" t="s">
        <v>70</v>
      </c>
      <c r="C23" s="64" t="str">
        <f>VLOOKUP(B23,Subsector!$A:$B,2,FALSE)</f>
        <v>Silver</v>
      </c>
      <c r="D23" s="57">
        <f>iferror(vlookup(B23,'Portfolio Positions'!$A:$F,4,false),0)</f>
        <v>4470.61</v>
      </c>
      <c r="E23" s="54">
        <f>iferror(VLOOKUP(B23,Betas!$B:$H,3,FALSE),0)</f>
        <v>0.962</v>
      </c>
      <c r="F23" s="54">
        <f>iferror(VLOOKUP(B23,Betas!$B:$H,4,FALSE),0)</f>
        <v>0.112</v>
      </c>
      <c r="G23" s="54">
        <f>iferror(VLOOKUP(B23,Betas!$B:$H,5,FALSE),0)</f>
        <v>0.34</v>
      </c>
      <c r="H23" s="54">
        <f>iferror(VLOOKUP(B23,Betas!$B:$H,6,FALSE),0)</f>
        <v>-0.022</v>
      </c>
      <c r="I23" s="58">
        <f t="shared" si="1"/>
        <v>0.006555406205</v>
      </c>
      <c r="J23" s="58">
        <f t="shared" si="2"/>
        <v>0.07574484552</v>
      </c>
    </row>
    <row r="24" ht="12.0" customHeight="1">
      <c r="A24" s="62" t="s">
        <v>39</v>
      </c>
      <c r="B24" s="63" t="s">
        <v>71</v>
      </c>
      <c r="C24" s="64" t="str">
        <f>VLOOKUP(B24,Subsector!$A:$B,2,FALSE)</f>
        <v>Silver</v>
      </c>
      <c r="D24" s="57">
        <f>iferror(vlookup(B24,'Portfolio Positions'!$A:$F,4,false),0)</f>
        <v>0</v>
      </c>
      <c r="E24" s="54">
        <f>iferror(VLOOKUP(B24,Betas!$B:$H,3,FALSE),0)</f>
        <v>0</v>
      </c>
      <c r="F24" s="54">
        <f>iferror(VLOOKUP(B24,Betas!$B:$H,4,FALSE),0)</f>
        <v>0</v>
      </c>
      <c r="G24" s="54">
        <f>iferror(VLOOKUP(B24,Betas!$B:$H,5,FALSE),0)</f>
        <v>0</v>
      </c>
      <c r="H24" s="54">
        <f>iferror(VLOOKUP(B24,Betas!$B:$H,6,FALSE),0)</f>
        <v>0</v>
      </c>
      <c r="I24" s="58">
        <f t="shared" si="1"/>
        <v>0</v>
      </c>
      <c r="J24" s="58">
        <f t="shared" si="2"/>
        <v>0</v>
      </c>
    </row>
    <row r="25" ht="12.0" customHeight="1">
      <c r="A25" s="62" t="s">
        <v>39</v>
      </c>
      <c r="B25" s="63" t="s">
        <v>72</v>
      </c>
      <c r="C25" s="64" t="str">
        <f>VLOOKUP(B25,Subsector!$A:$B,2,FALSE)</f>
        <v>Digital Infra</v>
      </c>
      <c r="D25" s="57">
        <f>iferror(vlookup(B25,'Portfolio Positions'!$A:$F,4,false),0)</f>
        <v>10486.47</v>
      </c>
      <c r="E25" s="54">
        <f>iferror(VLOOKUP(B25,Betas!$B:$H,3,FALSE),0)</f>
        <v>0.425</v>
      </c>
      <c r="F25" s="54">
        <f>iferror(VLOOKUP(B25,Betas!$B:$H,4,FALSE),0)</f>
        <v>0.126</v>
      </c>
      <c r="G25" s="54">
        <f>iferror(VLOOKUP(B25,Betas!$B:$H,5,FALSE),0)</f>
        <v>0.269</v>
      </c>
      <c r="H25" s="54">
        <f>iferror(VLOOKUP(B25,Betas!$B:$H,6,FALSE),0)</f>
        <v>0.126</v>
      </c>
      <c r="I25" s="58">
        <f t="shared" si="1"/>
        <v>0.01537666459</v>
      </c>
      <c r="J25" s="58">
        <f t="shared" si="2"/>
        <v>0.1085313222</v>
      </c>
    </row>
    <row r="26" ht="12.0" customHeight="1">
      <c r="A26" s="62" t="s">
        <v>39</v>
      </c>
      <c r="B26" s="63" t="s">
        <v>73</v>
      </c>
      <c r="C26" s="64" t="str">
        <f>VLOOKUP(B26,Subsector!$A:$B,2,FALSE)</f>
        <v>Nuclear</v>
      </c>
      <c r="D26" s="57">
        <f>iferror(vlookup(B26,'Portfolio Positions'!$A:$F,4,false),0)</f>
        <v>8371.32</v>
      </c>
      <c r="E26" s="54">
        <f>iferror(VLOOKUP(B26,Betas!$B:$H,3,FALSE),0)</f>
        <v>-0.012</v>
      </c>
      <c r="F26" s="54">
        <f>iferror(VLOOKUP(B26,Betas!$B:$H,4,FALSE),0)</f>
        <v>0.474</v>
      </c>
      <c r="G26" s="54">
        <f>iferror(VLOOKUP(B26,Betas!$B:$H,5,FALSE),0)</f>
        <v>-0.061</v>
      </c>
      <c r="H26" s="54">
        <f>iferror(VLOOKUP(B26,Betas!$B:$H,6,FALSE),0)</f>
        <v>0.14</v>
      </c>
      <c r="I26" s="58">
        <f t="shared" si="1"/>
        <v>0.01227514882</v>
      </c>
      <c r="J26" s="58">
        <f t="shared" si="2"/>
        <v>0.3205537929</v>
      </c>
    </row>
    <row r="27" ht="12.0" customHeight="1">
      <c r="A27" s="62" t="s">
        <v>39</v>
      </c>
      <c r="B27" s="63" t="s">
        <v>74</v>
      </c>
      <c r="C27" s="64" t="str">
        <f>VLOOKUP(B27,Subsector!$A:$B,2,FALSE)</f>
        <v>Experientials</v>
      </c>
      <c r="D27" s="57">
        <f>iferror(vlookup(B27,'Portfolio Positions'!$A:$F,4,false),0)</f>
        <v>0</v>
      </c>
      <c r="E27" s="54">
        <f>iferror(VLOOKUP(B27,Betas!$B:$H,3,FALSE),0)</f>
        <v>0</v>
      </c>
      <c r="F27" s="54">
        <f>iferror(VLOOKUP(B27,Betas!$B:$H,4,FALSE),0)</f>
        <v>0</v>
      </c>
      <c r="G27" s="54">
        <f>iferror(VLOOKUP(B27,Betas!$B:$H,5,FALSE),0)</f>
        <v>0</v>
      </c>
      <c r="H27" s="54">
        <f>iferror(VLOOKUP(B27,Betas!$B:$H,6,FALSE),0)</f>
        <v>0</v>
      </c>
      <c r="I27" s="58">
        <f t="shared" si="1"/>
        <v>0</v>
      </c>
      <c r="J27" s="58">
        <f t="shared" si="2"/>
        <v>0</v>
      </c>
    </row>
    <row r="28" ht="12.0" customHeight="1">
      <c r="A28" s="62" t="s">
        <v>39</v>
      </c>
      <c r="B28" s="63" t="s">
        <v>75</v>
      </c>
      <c r="C28" s="64" t="str">
        <f>VLOOKUP(B28,Subsector!$A:$B,2,FALSE)</f>
        <v>Payments</v>
      </c>
      <c r="D28" s="57">
        <f>iferror(vlookup(B28,'Portfolio Positions'!$A:$F,4,false),0)</f>
        <v>0</v>
      </c>
      <c r="E28" s="54">
        <f>iferror(VLOOKUP(B28,Betas!$B:$H,3,FALSE),0)</f>
        <v>0</v>
      </c>
      <c r="F28" s="54">
        <f>iferror(VLOOKUP(B28,Betas!$B:$H,4,FALSE),0)</f>
        <v>0</v>
      </c>
      <c r="G28" s="54">
        <f>iferror(VLOOKUP(B28,Betas!$B:$H,5,FALSE),0)</f>
        <v>0</v>
      </c>
      <c r="H28" s="54">
        <f>iferror(VLOOKUP(B28,Betas!$B:$H,6,FALSE),0)</f>
        <v>0</v>
      </c>
      <c r="I28" s="58">
        <f t="shared" si="1"/>
        <v>0</v>
      </c>
      <c r="J28" s="58">
        <f t="shared" si="2"/>
        <v>0</v>
      </c>
    </row>
    <row r="29" ht="12.0" customHeight="1">
      <c r="A29" s="62" t="s">
        <v>39</v>
      </c>
      <c r="B29" s="63" t="s">
        <v>76</v>
      </c>
      <c r="C29" s="64" t="str">
        <f>VLOOKUP(B29,Subsector!$A:$B,2,FALSE)</f>
        <v>Nuclear</v>
      </c>
      <c r="D29" s="57">
        <f>iferror(vlookup(B29,'Portfolio Positions'!$A:$F,4,false),0)</f>
        <v>8077.34</v>
      </c>
      <c r="E29" s="54">
        <f>iferror(VLOOKUP(B29,Betas!$B:$H,3,FALSE),0)</f>
        <v>1.456</v>
      </c>
      <c r="F29" s="54">
        <f>iferror(VLOOKUP(B29,Betas!$B:$H,4,FALSE),0)</f>
        <v>1.223</v>
      </c>
      <c r="G29" s="54">
        <f>iferror(VLOOKUP(B29,Betas!$B:$H,5,FALSE),0)</f>
        <v>0.218</v>
      </c>
      <c r="H29" s="54">
        <f>iferror(VLOOKUP(B29,Betas!$B:$H,6,FALSE),0)</f>
        <v>1.889</v>
      </c>
      <c r="I29" s="58">
        <f t="shared" si="1"/>
        <v>0.01184407603</v>
      </c>
      <c r="J29" s="58">
        <f t="shared" si="2"/>
        <v>0.3092967385</v>
      </c>
    </row>
    <row r="30" ht="12.0" customHeight="1">
      <c r="A30" s="62" t="s">
        <v>39</v>
      </c>
      <c r="B30" s="63" t="s">
        <v>77</v>
      </c>
      <c r="C30" s="64" t="str">
        <f>VLOOKUP(B30,Subsector!$A:$B,2,FALSE)</f>
        <v>AI-Industrial</v>
      </c>
      <c r="D30" s="57">
        <f>iferror(vlookup(B30,'Portfolio Positions'!$A:$F,4,false),0)</f>
        <v>4399.95</v>
      </c>
      <c r="E30" s="54">
        <f>iferror(VLOOKUP(B30,Betas!$B:$H,3,FALSE),0)</f>
        <v>1.051</v>
      </c>
      <c r="F30" s="54">
        <f>iferror(VLOOKUP(B30,Betas!$B:$H,4,FALSE),0)</f>
        <v>0.122</v>
      </c>
      <c r="G30" s="54">
        <f>iferror(VLOOKUP(B30,Betas!$B:$H,5,FALSE),0)</f>
        <v>0.378</v>
      </c>
      <c r="H30" s="54">
        <f>iferror(VLOOKUP(B30,Betas!$B:$H,6,FALSE),0)</f>
        <v>0.019</v>
      </c>
      <c r="I30" s="58">
        <f t="shared" si="1"/>
        <v>0.006451795064</v>
      </c>
      <c r="J30" s="58">
        <f t="shared" si="2"/>
        <v>0.07645487903</v>
      </c>
    </row>
    <row r="31" ht="12.0" customHeight="1">
      <c r="A31" s="62" t="s">
        <v>39</v>
      </c>
      <c r="B31" s="63" t="s">
        <v>78</v>
      </c>
      <c r="C31" s="64" t="str">
        <f>VLOOKUP(B31,Subsector!$A:$B,2,FALSE)</f>
        <v>Experientials</v>
      </c>
      <c r="D31" s="57">
        <f>iferror(vlookup(B31,'Portfolio Positions'!$A:$F,4,false),0)</f>
        <v>7396.34</v>
      </c>
      <c r="E31" s="54">
        <f>iferror(VLOOKUP(B31,Betas!$B:$H,3,FALSE),0)</f>
        <v>2.061</v>
      </c>
      <c r="F31" s="54">
        <f>iferror(VLOOKUP(B31,Betas!$B:$H,4,FALSE),0)</f>
        <v>0.815</v>
      </c>
      <c r="G31" s="54">
        <f>iferror(VLOOKUP(B31,Betas!$B:$H,5,FALSE),0)</f>
        <v>-1.328</v>
      </c>
      <c r="H31" s="54">
        <f>iferror(VLOOKUP(B31,Betas!$B:$H,6,FALSE),0)</f>
        <v>-0.322</v>
      </c>
      <c r="I31" s="58">
        <f t="shared" si="1"/>
        <v>0.01084550277</v>
      </c>
      <c r="J31" s="58">
        <f t="shared" si="2"/>
        <v>0.09710608037</v>
      </c>
    </row>
    <row r="32" ht="12.0" customHeight="1">
      <c r="A32" s="62" t="s">
        <v>39</v>
      </c>
      <c r="B32" s="63" t="s">
        <v>79</v>
      </c>
      <c r="C32" s="64" t="str">
        <f>VLOOKUP(B32,Subsector!$A:$B,2,FALSE)</f>
        <v>AI-Industrial</v>
      </c>
      <c r="D32" s="57">
        <f>iferror(vlookup(B32,'Portfolio Positions'!$A:$F,4,false),0)</f>
        <v>4669.44</v>
      </c>
      <c r="E32" s="54">
        <f>iferror(VLOOKUP(B32,Betas!$B:$H,3,FALSE),0)</f>
        <v>2.192</v>
      </c>
      <c r="F32" s="54">
        <f>iferror(VLOOKUP(B32,Betas!$B:$H,4,FALSE),0)</f>
        <v>0.11</v>
      </c>
      <c r="G32" s="54">
        <f>iferror(VLOOKUP(B32,Betas!$B:$H,5,FALSE),0)</f>
        <v>6.28</v>
      </c>
      <c r="H32" s="54">
        <f>iferror(VLOOKUP(B32,Betas!$B:$H,6,FALSE),0)</f>
        <v>-1.419</v>
      </c>
      <c r="I32" s="58">
        <f t="shared" si="1"/>
        <v>0.006846957339</v>
      </c>
      <c r="J32" s="58">
        <f t="shared" si="2"/>
        <v>0.08113761982</v>
      </c>
    </row>
    <row r="33" ht="12.0" customHeight="1">
      <c r="A33" s="62" t="s">
        <v>39</v>
      </c>
      <c r="B33" s="63" t="s">
        <v>80</v>
      </c>
      <c r="C33" s="64" t="str">
        <f>VLOOKUP(B33,Subsector!$A:$B,2,FALSE)</f>
        <v>Security</v>
      </c>
      <c r="D33" s="57">
        <f>iferror(vlookup(B33,'Portfolio Positions'!$A:$F,4,false),0)</f>
        <v>0</v>
      </c>
      <c r="E33" s="54">
        <f>iferror(VLOOKUP(B33,Betas!$B:$H,3,FALSE),0)</f>
        <v>0</v>
      </c>
      <c r="F33" s="54">
        <f>iferror(VLOOKUP(B33,Betas!$B:$H,4,FALSE),0)</f>
        <v>0</v>
      </c>
      <c r="G33" s="54">
        <f>iferror(VLOOKUP(B33,Betas!$B:$H,5,FALSE),0)</f>
        <v>0</v>
      </c>
      <c r="H33" s="54">
        <f>iferror(VLOOKUP(B33,Betas!$B:$H,6,FALSE),0)</f>
        <v>0</v>
      </c>
      <c r="I33" s="58">
        <f t="shared" si="1"/>
        <v>0</v>
      </c>
      <c r="J33" s="58">
        <f t="shared" si="2"/>
        <v>0</v>
      </c>
    </row>
    <row r="34" ht="12.0" customHeight="1">
      <c r="A34" s="62" t="s">
        <v>39</v>
      </c>
      <c r="B34" s="63" t="s">
        <v>81</v>
      </c>
      <c r="C34" s="64" t="str">
        <f>VLOOKUP(B34,Subsector!$A:$B,2,FALSE)</f>
        <v>AI-Industrial</v>
      </c>
      <c r="D34" s="57">
        <f>iferror(vlookup(B34,'Portfolio Positions'!$A:$F,4,false),0)</f>
        <v>21512.68</v>
      </c>
      <c r="E34" s="54">
        <f>iferror(VLOOKUP(B34,Betas!$B:$H,3,FALSE),0)</f>
        <v>2.058</v>
      </c>
      <c r="F34" s="54">
        <f>iferror(VLOOKUP(B34,Betas!$B:$H,4,FALSE),0)</f>
        <v>0.638</v>
      </c>
      <c r="G34" s="54">
        <f>iferror(VLOOKUP(B34,Betas!$B:$H,5,FALSE),0)</f>
        <v>8.047</v>
      </c>
      <c r="H34" s="54">
        <f>iferror(VLOOKUP(B34,Betas!$B:$H,6,FALSE),0)</f>
        <v>-4.9</v>
      </c>
      <c r="I34" s="58">
        <f t="shared" si="1"/>
        <v>0.03154476815</v>
      </c>
      <c r="J34" s="58">
        <f t="shared" si="2"/>
        <v>0.3738109176</v>
      </c>
    </row>
    <row r="35" ht="12.0" customHeight="1">
      <c r="A35" s="62" t="s">
        <v>39</v>
      </c>
      <c r="B35" s="63" t="s">
        <v>82</v>
      </c>
      <c r="C35" s="64" t="str">
        <f>VLOOKUP(B35,Subsector!$A:$B,2,FALSE)</f>
        <v>Silver</v>
      </c>
      <c r="D35" s="57">
        <f>iferror(vlookup(B35,'Portfolio Positions'!$A:$F,4,false),0)</f>
        <v>7306.63</v>
      </c>
      <c r="E35" s="54">
        <f>iferror(VLOOKUP(B35,Betas!$B:$H,3,FALSE),0)</f>
        <v>0.71</v>
      </c>
      <c r="F35" s="54">
        <f>iferror(VLOOKUP(B35,Betas!$B:$H,4,FALSE),0)</f>
        <v>0.098</v>
      </c>
      <c r="G35" s="54">
        <f>iferror(VLOOKUP(B35,Betas!$B:$H,5,FALSE),0)</f>
        <v>-1.539</v>
      </c>
      <c r="H35" s="54">
        <f>iferror(VLOOKUP(B35,Betas!$B:$H,6,FALSE),0)</f>
        <v>0.041</v>
      </c>
      <c r="I35" s="58">
        <f t="shared" si="1"/>
        <v>0.01071395797</v>
      </c>
      <c r="J35" s="58">
        <f t="shared" si="2"/>
        <v>0.1237950885</v>
      </c>
    </row>
    <row r="36" ht="12.0" customHeight="1">
      <c r="A36" s="62" t="s">
        <v>39</v>
      </c>
      <c r="B36" s="63" t="s">
        <v>83</v>
      </c>
      <c r="C36" s="64" t="str">
        <f>VLOOKUP(B36,Subsector!$A:$B,2,FALSE)</f>
        <v>Experientials</v>
      </c>
      <c r="D36" s="57">
        <f>iferror(vlookup(B36,'Portfolio Positions'!$A:$F,4,false),0)</f>
        <v>17670.78</v>
      </c>
      <c r="E36" s="54">
        <f>iferror(VLOOKUP(B36,Betas!$B:$H,3,FALSE),0)</f>
        <v>1.179</v>
      </c>
      <c r="F36" s="54">
        <f>iferror(VLOOKUP(B36,Betas!$B:$H,4,FALSE),0)</f>
        <v>0.182</v>
      </c>
      <c r="G36" s="54">
        <f>iferror(VLOOKUP(B36,Betas!$B:$H,5,FALSE),0)</f>
        <v>-1.001</v>
      </c>
      <c r="H36" s="54">
        <f>iferror(VLOOKUP(B36,Betas!$B:$H,6,FALSE),0)</f>
        <v>0.982</v>
      </c>
      <c r="I36" s="58">
        <f t="shared" si="1"/>
        <v>0.02591126062</v>
      </c>
      <c r="J36" s="58">
        <f t="shared" si="2"/>
        <v>0.2319985537</v>
      </c>
    </row>
    <row r="37" ht="12.0" customHeight="1">
      <c r="A37" s="62" t="s">
        <v>39</v>
      </c>
      <c r="B37" s="63" t="s">
        <v>84</v>
      </c>
      <c r="C37" s="64" t="str">
        <f>VLOOKUP(B37,Subsector!$A:$B,2,FALSE)</f>
        <v>Payments</v>
      </c>
      <c r="D37" s="57">
        <f>iferror(vlookup(B37,'Portfolio Positions'!$A:$F,4,false),0)</f>
        <v>7328.19</v>
      </c>
      <c r="E37" s="54">
        <f>iferror(VLOOKUP(B37,Betas!$B:$H,3,FALSE),0)</f>
        <v>0.994</v>
      </c>
      <c r="F37" s="54">
        <f>iferror(VLOOKUP(B37,Betas!$B:$H,4,FALSE),0)</f>
        <v>0.374</v>
      </c>
      <c r="G37" s="54">
        <f>iferror(VLOOKUP(B37,Betas!$B:$H,5,FALSE),0)</f>
        <v>-1.442</v>
      </c>
      <c r="H37" s="54">
        <f>iferror(VLOOKUP(B37,Betas!$B:$H,6,FALSE),0)</f>
        <v>1.308</v>
      </c>
      <c r="I37" s="58">
        <f t="shared" si="1"/>
        <v>0.01074557212</v>
      </c>
      <c r="J37" s="58">
        <f t="shared" si="2"/>
        <v>0.3922467965</v>
      </c>
    </row>
    <row r="38" ht="12.0" customHeight="1">
      <c r="A38" s="62" t="s">
        <v>39</v>
      </c>
      <c r="B38" s="63" t="s">
        <v>85</v>
      </c>
      <c r="C38" s="64" t="str">
        <f>VLOOKUP(B38,Subsector!$A:$B,2,FALSE)</f>
        <v>Experientials</v>
      </c>
      <c r="D38" s="57">
        <f>iferror(vlookup(B38,'Portfolio Positions'!$A:$F,4,false),0)</f>
        <v>8727.23</v>
      </c>
      <c r="E38" s="54">
        <f>iferror(VLOOKUP(B38,Betas!$B:$H,3,FALSE),0)</f>
        <v>1.382</v>
      </c>
      <c r="F38" s="54">
        <f>iferror(VLOOKUP(B38,Betas!$B:$H,4,FALSE),0)</f>
        <v>0.246</v>
      </c>
      <c r="G38" s="54">
        <f>iferror(VLOOKUP(B38,Betas!$B:$H,5,FALSE),0)</f>
        <v>-1.236</v>
      </c>
      <c r="H38" s="54">
        <f>iferror(VLOOKUP(B38,Betas!$B:$H,6,FALSE),0)</f>
        <v>-0.415</v>
      </c>
      <c r="I38" s="58">
        <f t="shared" si="1"/>
        <v>0.01279703166</v>
      </c>
      <c r="J38" s="58">
        <f t="shared" si="2"/>
        <v>0.1145792511</v>
      </c>
    </row>
    <row r="39" ht="12.0" customHeight="1">
      <c r="A39" s="62" t="s">
        <v>39</v>
      </c>
      <c r="B39" s="63" t="s">
        <v>86</v>
      </c>
      <c r="C39" s="64" t="str">
        <f>VLOOKUP(B39,Subsector!$A:$B,2,FALSE)</f>
        <v>Silver</v>
      </c>
      <c r="D39" s="57">
        <f>iferror(vlookup(B39,'Portfolio Positions'!$A:$F,4,false),0)</f>
        <v>3466.97</v>
      </c>
      <c r="E39" s="54">
        <f>iferror(VLOOKUP(B39,Betas!$B:$H,3,FALSE),0)</f>
        <v>0.422</v>
      </c>
      <c r="F39" s="54">
        <f>iferror(VLOOKUP(B39,Betas!$B:$H,4,FALSE),0)</f>
        <v>0.707</v>
      </c>
      <c r="G39" s="54">
        <f>iferror(VLOOKUP(B39,Betas!$B:$H,5,FALSE),0)</f>
        <v>0.036</v>
      </c>
      <c r="H39" s="54">
        <f>iferror(VLOOKUP(B39,Betas!$B:$H,6,FALSE),0)</f>
        <v>-0.301</v>
      </c>
      <c r="I39" s="58">
        <f t="shared" si="1"/>
        <v>0.005083735027</v>
      </c>
      <c r="J39" s="58">
        <f t="shared" si="2"/>
        <v>0.05874033008</v>
      </c>
    </row>
    <row r="40" ht="12.0" customHeight="1">
      <c r="A40" s="62" t="s">
        <v>39</v>
      </c>
      <c r="B40" s="63" t="s">
        <v>87</v>
      </c>
      <c r="C40" s="64" t="str">
        <f>VLOOKUP(B40,Subsector!$A:$B,2,FALSE)</f>
        <v>Payments</v>
      </c>
      <c r="D40" s="57">
        <f>iferror(vlookup(B40,'Portfolio Positions'!$A:$F,4,false),0)</f>
        <v>0</v>
      </c>
      <c r="E40" s="54">
        <f>iferror(VLOOKUP(B40,Betas!$B:$H,3,FALSE),0)</f>
        <v>0</v>
      </c>
      <c r="F40" s="54">
        <f>iferror(VLOOKUP(B40,Betas!$B:$H,4,FALSE),0)</f>
        <v>0</v>
      </c>
      <c r="G40" s="54">
        <f>iferror(VLOOKUP(B40,Betas!$B:$H,5,FALSE),0)</f>
        <v>0</v>
      </c>
      <c r="H40" s="54">
        <f>iferror(VLOOKUP(B40,Betas!$B:$H,6,FALSE),0)</f>
        <v>0</v>
      </c>
      <c r="I40" s="58">
        <f t="shared" si="1"/>
        <v>0</v>
      </c>
      <c r="J40" s="58">
        <f t="shared" si="2"/>
        <v>0</v>
      </c>
    </row>
    <row r="41" ht="12.0" customHeight="1">
      <c r="A41" s="62" t="s">
        <v>39</v>
      </c>
      <c r="B41" s="63" t="s">
        <v>88</v>
      </c>
      <c r="C41" s="64" t="str">
        <f>VLOOKUP(B41,Subsector!$A:$B,2,FALSE)</f>
        <v>Experientials</v>
      </c>
      <c r="D41" s="57">
        <f>iferror(vlookup(B41,'Portfolio Positions'!$A:$F,4,false),0)</f>
        <v>8935.4</v>
      </c>
      <c r="E41" s="54">
        <f>iferror(VLOOKUP(B41,Betas!$B:$H,3,FALSE),0)</f>
        <v>0.85</v>
      </c>
      <c r="F41" s="54">
        <f>iferror(VLOOKUP(B41,Betas!$B:$H,4,FALSE),0)</f>
        <v>-0.083</v>
      </c>
      <c r="G41" s="54">
        <f>iferror(VLOOKUP(B41,Betas!$B:$H,5,FALSE),0)</f>
        <v>-0.408</v>
      </c>
      <c r="H41" s="54">
        <f>iferror(VLOOKUP(B41,Betas!$B:$H,6,FALSE),0)</f>
        <v>0.134</v>
      </c>
      <c r="I41" s="58">
        <f t="shared" si="1"/>
        <v>0.01310227835</v>
      </c>
      <c r="J41" s="58">
        <f t="shared" si="2"/>
        <v>0.1173123018</v>
      </c>
    </row>
    <row r="42" ht="12.0" customHeight="1">
      <c r="A42" s="62" t="s">
        <v>39</v>
      </c>
      <c r="B42" s="63" t="s">
        <v>89</v>
      </c>
      <c r="C42" s="64" t="str">
        <f>VLOOKUP(B42,Subsector!$A:$B,2,FALSE)</f>
        <v>Security</v>
      </c>
      <c r="D42" s="57">
        <f>iferror(vlookup(B42,'Portfolio Positions'!$A:$F,4,false),0)</f>
        <v>10081.72</v>
      </c>
      <c r="E42" s="54">
        <f>iferror(VLOOKUP(B42,Betas!$B:$H,3,FALSE),0)</f>
        <v>0.187</v>
      </c>
      <c r="F42" s="54">
        <f>iferror(VLOOKUP(B42,Betas!$B:$H,4,FALSE),0)</f>
        <v>0.075</v>
      </c>
      <c r="G42" s="54">
        <f>iferror(VLOOKUP(B42,Betas!$B:$H,5,FALSE),0)</f>
        <v>0.002</v>
      </c>
      <c r="H42" s="54">
        <f>iferror(VLOOKUP(B42,Betas!$B:$H,6,FALSE),0)</f>
        <v>-0.261</v>
      </c>
      <c r="I42" s="58">
        <f t="shared" si="1"/>
        <v>0.01478316602</v>
      </c>
      <c r="J42" s="58">
        <f t="shared" si="2"/>
        <v>0.2880070938</v>
      </c>
    </row>
    <row r="43" ht="12.0" customHeight="1">
      <c r="A43" s="62" t="s">
        <v>39</v>
      </c>
      <c r="B43" s="63" t="s">
        <v>90</v>
      </c>
      <c r="C43" s="64" t="str">
        <f>VLOOKUP(B43,Subsector!$A:$B,2,FALSE)</f>
        <v>AI-Industrial</v>
      </c>
      <c r="D43" s="57">
        <f>iferror(vlookup(B43,'Portfolio Positions'!$A:$F,4,false),0)</f>
        <v>5961.79</v>
      </c>
      <c r="E43" s="54">
        <f>iferror(VLOOKUP(B43,Betas!$B:$H,3,FALSE),0)</f>
        <v>2.178</v>
      </c>
      <c r="F43" s="54">
        <f>iferror(VLOOKUP(B43,Betas!$B:$H,4,FALSE),0)</f>
        <v>-1.946</v>
      </c>
      <c r="G43" s="54">
        <f>iferror(VLOOKUP(B43,Betas!$B:$H,5,FALSE),0)</f>
        <v>6.016</v>
      </c>
      <c r="H43" s="54">
        <f>iferror(VLOOKUP(B43,Betas!$B:$H,6,FALSE),0)</f>
        <v>-3.385</v>
      </c>
      <c r="I43" s="58">
        <f t="shared" si="1"/>
        <v>0.008741973725</v>
      </c>
      <c r="J43" s="58">
        <f t="shared" si="2"/>
        <v>0.1035938893</v>
      </c>
    </row>
    <row r="44" ht="12.0" customHeight="1">
      <c r="A44" s="62" t="s">
        <v>39</v>
      </c>
      <c r="B44" s="63" t="s">
        <v>91</v>
      </c>
      <c r="C44" s="64" t="str">
        <f>VLOOKUP(B44,Subsector!$A:$B,2,FALSE)</f>
        <v>Experientials</v>
      </c>
      <c r="D44" s="57">
        <f>iferror(vlookup(B44,'Portfolio Positions'!$A:$F,4,false),0)</f>
        <v>8541.46</v>
      </c>
      <c r="E44" s="54">
        <f>iferror(VLOOKUP(B44,Betas!$B:$H,3,FALSE),0)</f>
        <v>2.24</v>
      </c>
      <c r="F44" s="54">
        <f>iferror(VLOOKUP(B44,Betas!$B:$H,4,FALSE),0)</f>
        <v>-0.073</v>
      </c>
      <c r="G44" s="54">
        <f>iferror(VLOOKUP(B44,Betas!$B:$H,5,FALSE),0)</f>
        <v>-1.012</v>
      </c>
      <c r="H44" s="54">
        <f>iferror(VLOOKUP(B44,Betas!$B:$H,6,FALSE),0)</f>
        <v>0.801</v>
      </c>
      <c r="I44" s="58">
        <f t="shared" si="1"/>
        <v>0.01252463084</v>
      </c>
      <c r="J44" s="58">
        <f t="shared" si="2"/>
        <v>0.1121402885</v>
      </c>
    </row>
    <row r="45" ht="12.0" customHeight="1">
      <c r="A45" s="62" t="s">
        <v>39</v>
      </c>
      <c r="B45" s="63" t="s">
        <v>92</v>
      </c>
      <c r="C45" s="64" t="str">
        <f>VLOOKUP(B45,Subsector!$A:$B,2,FALSE)</f>
        <v>Digital Infra</v>
      </c>
      <c r="D45" s="57">
        <f>iferror(vlookup(B45,'Portfolio Positions'!$A:$F,4,false),0)</f>
        <v>8973.63</v>
      </c>
      <c r="E45" s="54">
        <f>iferror(VLOOKUP(B45,Betas!$B:$H,3,FALSE),0)</f>
        <v>0.54</v>
      </c>
      <c r="F45" s="54">
        <f>iferror(VLOOKUP(B45,Betas!$B:$H,4,FALSE),0)</f>
        <v>0.624</v>
      </c>
      <c r="G45" s="54">
        <f>iferror(VLOOKUP(B45,Betas!$B:$H,5,FALSE),0)</f>
        <v>0.003</v>
      </c>
      <c r="H45" s="54">
        <f>iferror(VLOOKUP(B45,Betas!$B:$H,6,FALSE),0)</f>
        <v>-0.302</v>
      </c>
      <c r="I45" s="58">
        <f t="shared" si="1"/>
        <v>0.01315833629</v>
      </c>
      <c r="J45" s="58">
        <f t="shared" si="2"/>
        <v>0.09287395365</v>
      </c>
    </row>
    <row r="46" ht="12.0" customHeight="1">
      <c r="A46" s="62" t="s">
        <v>39</v>
      </c>
      <c r="B46" s="63" t="s">
        <v>93</v>
      </c>
      <c r="C46" s="64" t="str">
        <f>VLOOKUP(B46,Subsector!$A:$B,2,FALSE)</f>
        <v>AI-Industrial</v>
      </c>
      <c r="D46" s="57">
        <f>iferror(vlookup(B46,'Portfolio Positions'!$A:$F,4,false),0)</f>
        <v>4714.6</v>
      </c>
      <c r="E46" s="54">
        <f>iferror(VLOOKUP(B46,Betas!$B:$H,3,FALSE),0)</f>
        <v>1.353</v>
      </c>
      <c r="F46" s="54">
        <f>iferror(VLOOKUP(B46,Betas!$B:$H,4,FALSE),0)</f>
        <v>-0.102</v>
      </c>
      <c r="G46" s="54">
        <f>iferror(VLOOKUP(B46,Betas!$B:$H,5,FALSE),0)</f>
        <v>1.341</v>
      </c>
      <c r="H46" s="54">
        <f>iferror(VLOOKUP(B46,Betas!$B:$H,6,FALSE),0)</f>
        <v>0.731</v>
      </c>
      <c r="I46" s="58">
        <f t="shared" si="1"/>
        <v>0.00691317697</v>
      </c>
      <c r="J46" s="58">
        <f t="shared" si="2"/>
        <v>0.08192233382</v>
      </c>
    </row>
    <row r="47" ht="12.0" customHeight="1">
      <c r="A47" s="62" t="s">
        <v>39</v>
      </c>
      <c r="B47" s="63" t="s">
        <v>94</v>
      </c>
      <c r="C47" s="64" t="str">
        <f>VLOOKUP(B47,Subsector!$A:$B,2,FALSE)</f>
        <v>Security</v>
      </c>
      <c r="D47" s="57">
        <f>iferror(vlookup(B47,'Portfolio Positions'!$A:$F,4,false),0)</f>
        <v>9160.32</v>
      </c>
      <c r="E47" s="54">
        <f>iferror(VLOOKUP(B47,Betas!$B:$H,3,FALSE),0)</f>
        <v>1.719</v>
      </c>
      <c r="F47" s="54">
        <f>iferror(VLOOKUP(B47,Betas!$B:$H,4,FALSE),0)</f>
        <v>0.172</v>
      </c>
      <c r="G47" s="54">
        <f>iferror(VLOOKUP(B47,Betas!$B:$H,5,FALSE),0)</f>
        <v>0.79</v>
      </c>
      <c r="H47" s="54">
        <f>iferror(VLOOKUP(B47,Betas!$B:$H,6,FALSE),0)</f>
        <v>-1.427</v>
      </c>
      <c r="I47" s="58">
        <f t="shared" si="1"/>
        <v>0.01343208613</v>
      </c>
      <c r="J47" s="58">
        <f t="shared" si="2"/>
        <v>0.2616852225</v>
      </c>
    </row>
    <row r="48" ht="12.0" customHeight="1">
      <c r="A48" s="62" t="s">
        <v>39</v>
      </c>
      <c r="B48" s="63" t="s">
        <v>95</v>
      </c>
      <c r="C48" s="64" t="str">
        <f>VLOOKUP(B48,Subsector!$A:$B,2,FALSE)</f>
        <v>Waste</v>
      </c>
      <c r="D48" s="57">
        <f>iferror(vlookup(B48,'Portfolio Positions'!$A:$F,4,false),0)</f>
        <v>0</v>
      </c>
      <c r="E48" s="54">
        <f>iferror(VLOOKUP(B48,Betas!$B:$H,3,FALSE),0)</f>
        <v>0</v>
      </c>
      <c r="F48" s="54">
        <f>iferror(VLOOKUP(B48,Betas!$B:$H,4,FALSE),0)</f>
        <v>0</v>
      </c>
      <c r="G48" s="54">
        <f>iferror(VLOOKUP(B48,Betas!$B:$H,5,FALSE),0)</f>
        <v>0</v>
      </c>
      <c r="H48" s="54">
        <f>iferror(VLOOKUP(B48,Betas!$B:$H,6,FALSE),0)</f>
        <v>0</v>
      </c>
      <c r="I48" s="58">
        <f t="shared" si="1"/>
        <v>0</v>
      </c>
      <c r="J48" s="58">
        <f t="shared" si="2"/>
        <v>0</v>
      </c>
    </row>
    <row r="49" ht="12.0" customHeight="1">
      <c r="A49" s="62" t="s">
        <v>39</v>
      </c>
      <c r="B49" s="63" t="s">
        <v>96</v>
      </c>
      <c r="C49" s="64" t="str">
        <f>VLOOKUP(B49,Subsector!$A:$B,2,FALSE)</f>
        <v>Waste</v>
      </c>
      <c r="D49" s="57">
        <f>iferror(vlookup(B49,'Portfolio Positions'!$A:$F,4,false),0)</f>
        <v>0</v>
      </c>
      <c r="E49" s="54">
        <f>iferror(VLOOKUP(B49,Betas!$B:$H,3,FALSE),0)</f>
        <v>0</v>
      </c>
      <c r="F49" s="54">
        <f>iferror(VLOOKUP(B49,Betas!$B:$H,4,FALSE),0)</f>
        <v>0</v>
      </c>
      <c r="G49" s="54">
        <f>iferror(VLOOKUP(B49,Betas!$B:$H,5,FALSE),0)</f>
        <v>0</v>
      </c>
      <c r="H49" s="54">
        <f>iferror(VLOOKUP(B49,Betas!$B:$H,6,FALSE),0)</f>
        <v>0</v>
      </c>
      <c r="I49" s="58">
        <f t="shared" si="1"/>
        <v>0</v>
      </c>
      <c r="J49" s="58">
        <f t="shared" si="2"/>
        <v>0</v>
      </c>
    </row>
    <row r="50" ht="12.0" customHeight="1">
      <c r="A50" s="62" t="s">
        <v>39</v>
      </c>
      <c r="B50" s="63" t="s">
        <v>97</v>
      </c>
      <c r="C50" s="64" t="str">
        <f>VLOOKUP(B50,Subsector!$A:$B,2,FALSE)</f>
        <v>Digital Infra</v>
      </c>
      <c r="D50" s="57">
        <f>iferror(vlookup(B50,'Portfolio Positions'!$A:$F,4,false),0)</f>
        <v>9767.57</v>
      </c>
      <c r="E50" s="54">
        <f>iferror(VLOOKUP(B50,Betas!$B:$H,3,FALSE),0)</f>
        <v>0.855</v>
      </c>
      <c r="F50" s="54">
        <f>iferror(VLOOKUP(B50,Betas!$B:$H,4,FALSE),0)</f>
        <v>-0.278</v>
      </c>
      <c r="G50" s="54">
        <f>iferror(VLOOKUP(B50,Betas!$B:$H,5,FALSE),0)</f>
        <v>2.9</v>
      </c>
      <c r="H50" s="54">
        <f>iferror(VLOOKUP(B50,Betas!$B:$H,6,FALSE),0)</f>
        <v>-0.495</v>
      </c>
      <c r="I50" s="58">
        <f t="shared" si="1"/>
        <v>0.01432251728</v>
      </c>
      <c r="J50" s="58">
        <f t="shared" si="2"/>
        <v>0.1010909569</v>
      </c>
    </row>
    <row r="51" ht="12.0" customHeight="1">
      <c r="A51" s="62" t="s">
        <v>39</v>
      </c>
      <c r="B51" s="63" t="s">
        <v>98</v>
      </c>
      <c r="C51" s="64" t="str">
        <f>VLOOKUP(B51,Subsector!$A:$B,2,FALSE)</f>
        <v>Experientials</v>
      </c>
      <c r="D51" s="57">
        <f>iferror(vlookup(B51,'Portfolio Positions'!$A:$F,4,false),0)</f>
        <v>8414.66</v>
      </c>
      <c r="E51" s="54">
        <f>iferror(VLOOKUP(B51,Betas!$B:$H,3,FALSE),0)</f>
        <v>2.076</v>
      </c>
      <c r="F51" s="54">
        <f>iferror(VLOOKUP(B51,Betas!$B:$H,4,FALSE),0)</f>
        <v>0.802</v>
      </c>
      <c r="G51" s="54">
        <f>iferror(VLOOKUP(B51,Betas!$B:$H,5,FALSE),0)</f>
        <v>-1.569</v>
      </c>
      <c r="H51" s="54">
        <f>iferror(VLOOKUP(B51,Betas!$B:$H,6,FALSE),0)</f>
        <v>2.18</v>
      </c>
      <c r="I51" s="58">
        <f t="shared" si="1"/>
        <v>0.01233869972</v>
      </c>
      <c r="J51" s="58">
        <f t="shared" si="2"/>
        <v>0.1104755393</v>
      </c>
    </row>
    <row r="52" ht="12.0" customHeight="1">
      <c r="A52" s="62" t="s">
        <v>39</v>
      </c>
      <c r="B52" s="63" t="s">
        <v>99</v>
      </c>
      <c r="C52" s="64" t="str">
        <f>VLOOKUP(B52,Subsector!$A:$B,2,FALSE)</f>
        <v>Waste</v>
      </c>
      <c r="D52" s="57">
        <f>iferror(vlookup(B52,'Portfolio Positions'!$A:$F,4,false),0)</f>
        <v>8373.18</v>
      </c>
      <c r="E52" s="54">
        <f>iferror(VLOOKUP(B52,Betas!$B:$H,3,FALSE),0)</f>
        <v>0.331</v>
      </c>
      <c r="F52" s="54">
        <f>iferror(VLOOKUP(B52,Betas!$B:$H,4,FALSE),0)</f>
        <v>0.203</v>
      </c>
      <c r="G52" s="54">
        <f>iferror(VLOOKUP(B52,Betas!$B:$H,5,FALSE),0)</f>
        <v>-1.053</v>
      </c>
      <c r="H52" s="54">
        <f>iferror(VLOOKUP(B52,Betas!$B:$H,6,FALSE),0)</f>
        <v>0.518</v>
      </c>
      <c r="I52" s="58">
        <f t="shared" si="1"/>
        <v>0.0122778762</v>
      </c>
      <c r="J52" s="58">
        <f t="shared" si="2"/>
        <v>0.1757218228</v>
      </c>
    </row>
    <row r="53" ht="12.0" customHeight="1">
      <c r="A53" s="62" t="s">
        <v>39</v>
      </c>
      <c r="B53" s="63" t="s">
        <v>100</v>
      </c>
      <c r="C53" s="64" t="str">
        <f>VLOOKUP(B53,Subsector!$A:$B,2,FALSE)</f>
        <v>Security</v>
      </c>
      <c r="D53" s="57">
        <f>iferror(vlookup(B53,'Portfolio Positions'!$A:$F,4,false),0)</f>
        <v>9078.99</v>
      </c>
      <c r="E53" s="54">
        <f>iferror(VLOOKUP(B53,Betas!$B:$H,3,FALSE),0)</f>
        <v>0.523</v>
      </c>
      <c r="F53" s="54">
        <f>iferror(VLOOKUP(B53,Betas!$B:$H,4,FALSE),0)</f>
        <v>0.801</v>
      </c>
      <c r="G53" s="54">
        <f>iferror(VLOOKUP(B53,Betas!$B:$H,5,FALSE),0)</f>
        <v>0.508</v>
      </c>
      <c r="H53" s="54">
        <f>iferror(VLOOKUP(B53,Betas!$B:$H,6,FALSE),0)</f>
        <v>0.894</v>
      </c>
      <c r="I53" s="58">
        <f t="shared" si="1"/>
        <v>0.01331282921</v>
      </c>
      <c r="J53" s="58">
        <f t="shared" si="2"/>
        <v>0.2593618475</v>
      </c>
    </row>
    <row r="54" ht="12.0" customHeight="1">
      <c r="A54" s="62" t="s">
        <v>39</v>
      </c>
      <c r="B54" s="63" t="s">
        <v>101</v>
      </c>
      <c r="C54" s="64" t="str">
        <f>VLOOKUP(B54,Subsector!$A:$B,2,FALSE)</f>
        <v>Silver</v>
      </c>
      <c r="D54" s="57">
        <f>iferror(vlookup(B54,'Portfolio Positions'!$A:$F,4,false),0)</f>
        <v>3737.7</v>
      </c>
      <c r="E54" s="54">
        <f>iferror(VLOOKUP(B54,Betas!$B:$H,3,FALSE),0)</f>
        <v>0.806</v>
      </c>
      <c r="F54" s="54">
        <f>iferror(VLOOKUP(B54,Betas!$B:$H,4,FALSE),0)</f>
        <v>0.374</v>
      </c>
      <c r="G54" s="54">
        <f>iferror(VLOOKUP(B54,Betas!$B:$H,5,FALSE),0)</f>
        <v>-1.028</v>
      </c>
      <c r="H54" s="54">
        <f>iferror(VLOOKUP(B54,Betas!$B:$H,6,FALSE),0)</f>
        <v>0.401</v>
      </c>
      <c r="I54" s="58">
        <f t="shared" si="1"/>
        <v>0.005480715556</v>
      </c>
      <c r="J54" s="58">
        <f t="shared" si="2"/>
        <v>0.0633272661</v>
      </c>
    </row>
    <row r="55" ht="12.0" customHeight="1">
      <c r="A55" s="62" t="s">
        <v>39</v>
      </c>
      <c r="B55" s="63" t="s">
        <v>102</v>
      </c>
      <c r="C55" s="64" t="str">
        <f>VLOOKUP(B55,Subsector!$A:$B,2,FALSE)</f>
        <v>Experientials</v>
      </c>
      <c r="D55" s="57">
        <f>iferror(vlookup(B55,'Portfolio Positions'!$A:$F,4,false),0)</f>
        <v>7813.25</v>
      </c>
      <c r="E55" s="54">
        <f>iferror(VLOOKUP(B55,Betas!$B:$H,3,FALSE),0)</f>
        <v>1.049</v>
      </c>
      <c r="F55" s="54">
        <f>iferror(VLOOKUP(B55,Betas!$B:$H,4,FALSE),0)</f>
        <v>0.544</v>
      </c>
      <c r="G55" s="54">
        <f>iferror(VLOOKUP(B55,Betas!$B:$H,5,FALSE),0)</f>
        <v>-0.229</v>
      </c>
      <c r="H55" s="54">
        <f>iferror(VLOOKUP(B55,Betas!$B:$H,6,FALSE),0)</f>
        <v>0.124</v>
      </c>
      <c r="I55" s="58">
        <f t="shared" si="1"/>
        <v>0.01145683196</v>
      </c>
      <c r="J55" s="58">
        <f t="shared" si="2"/>
        <v>0.1025796654</v>
      </c>
    </row>
    <row r="56" ht="12.0" customHeight="1">
      <c r="A56" s="62" t="s">
        <v>39</v>
      </c>
      <c r="B56" s="63" t="s">
        <v>103</v>
      </c>
      <c r="C56" s="64" t="str">
        <f>VLOOKUP(B56,Subsector!$A:$B,2,FALSE)</f>
        <v>Silver</v>
      </c>
      <c r="D56" s="57">
        <f>iferror(vlookup(B56,'Portfolio Positions'!$A:$F,4,false),0)</f>
        <v>5507.13</v>
      </c>
      <c r="E56" s="54">
        <f>iferror(VLOOKUP(B56,Betas!$B:$H,3,FALSE),0)</f>
        <v>1.664</v>
      </c>
      <c r="F56" s="54">
        <f>iferror(VLOOKUP(B56,Betas!$B:$H,4,FALSE),0)</f>
        <v>0.288</v>
      </c>
      <c r="G56" s="54">
        <f>iferror(VLOOKUP(B56,Betas!$B:$H,5,FALSE),0)</f>
        <v>-0.906</v>
      </c>
      <c r="H56" s="54">
        <f>iferror(VLOOKUP(B56,Betas!$B:$H,6,FALSE),0)</f>
        <v>-0.698</v>
      </c>
      <c r="I56" s="58">
        <f t="shared" si="1"/>
        <v>0.008075290435</v>
      </c>
      <c r="J56" s="58">
        <f t="shared" si="2"/>
        <v>0.09330644165</v>
      </c>
    </row>
    <row r="57" ht="12.0" customHeight="1">
      <c r="A57" s="62" t="s">
        <v>39</v>
      </c>
      <c r="B57" s="63" t="s">
        <v>104</v>
      </c>
      <c r="C57" s="64" t="str">
        <f>VLOOKUP(B57,Subsector!$A:$B,2,FALSE)</f>
        <v>Payments</v>
      </c>
      <c r="D57" s="57">
        <f>iferror(vlookup(B57,'Portfolio Positions'!$A:$F,4,false),0)</f>
        <v>0</v>
      </c>
      <c r="E57" s="54">
        <f>iferror(VLOOKUP(B57,Betas!$B:$H,3,FALSE),0)</f>
        <v>0</v>
      </c>
      <c r="F57" s="54">
        <f>iferror(VLOOKUP(B57,Betas!$B:$H,4,FALSE),0)</f>
        <v>0</v>
      </c>
      <c r="G57" s="54">
        <f>iferror(VLOOKUP(B57,Betas!$B:$H,5,FALSE),0)</f>
        <v>0</v>
      </c>
      <c r="H57" s="54">
        <f>iferror(VLOOKUP(B57,Betas!$B:$H,6,FALSE),0)</f>
        <v>0</v>
      </c>
      <c r="I57" s="58">
        <f t="shared" si="1"/>
        <v>0</v>
      </c>
      <c r="J57" s="58">
        <f t="shared" si="2"/>
        <v>0</v>
      </c>
    </row>
    <row r="58" ht="12.0" customHeight="1">
      <c r="A58" s="62" t="s">
        <v>39</v>
      </c>
      <c r="B58" s="63" t="s">
        <v>105</v>
      </c>
      <c r="C58" s="64" t="str">
        <f>VLOOKUP(B58,Subsector!$A:$B,2,FALSE)</f>
        <v>AI-Industrial</v>
      </c>
      <c r="D58" s="57">
        <f>iferror(vlookup(B58,'Portfolio Positions'!$A:$F,4,false),0)</f>
        <v>4229.28</v>
      </c>
      <c r="E58" s="54">
        <f>iferror(VLOOKUP(B58,Betas!$B:$H,3,FALSE),0)</f>
        <v>1.846</v>
      </c>
      <c r="F58" s="54">
        <f>iferror(VLOOKUP(B58,Betas!$B:$H,4,FALSE),0)</f>
        <v>-0.013</v>
      </c>
      <c r="G58" s="54">
        <f>iferror(VLOOKUP(B58,Betas!$B:$H,5,FALSE),0)</f>
        <v>-0.064</v>
      </c>
      <c r="H58" s="54">
        <f>iferror(VLOOKUP(B58,Betas!$B:$H,6,FALSE),0)</f>
        <v>0.115</v>
      </c>
      <c r="I58" s="58">
        <f t="shared" si="1"/>
        <v>0.006201535887</v>
      </c>
      <c r="J58" s="58">
        <f t="shared" si="2"/>
        <v>0.07348926483</v>
      </c>
    </row>
    <row r="59" ht="12.0" customHeight="1">
      <c r="A59" s="62" t="s">
        <v>39</v>
      </c>
      <c r="B59" s="63" t="s">
        <v>106</v>
      </c>
      <c r="C59" s="64" t="str">
        <f>VLOOKUP(B59,Subsector!$A:$B,2,FALSE)</f>
        <v>AI-Industrial</v>
      </c>
      <c r="D59" s="57">
        <f>iferror(vlookup(B59,'Portfolio Positions'!$A:$F,4,false),0)</f>
        <v>5772.01</v>
      </c>
      <c r="E59" s="54">
        <f>iferror(VLOOKUP(B59,Betas!$B:$H,3,FALSE),0)</f>
        <v>1.512</v>
      </c>
      <c r="F59" s="54">
        <f>iferror(VLOOKUP(B59,Betas!$B:$H,4,FALSE),0)</f>
        <v>-0.442</v>
      </c>
      <c r="G59" s="54">
        <f>iferror(VLOOKUP(B59,Betas!$B:$H,5,FALSE),0)</f>
        <v>1.614</v>
      </c>
      <c r="H59" s="54">
        <f>iferror(VLOOKUP(B59,Betas!$B:$H,6,FALSE),0)</f>
        <v>-0.72</v>
      </c>
      <c r="I59" s="58">
        <f t="shared" si="1"/>
        <v>0.008463692911</v>
      </c>
      <c r="J59" s="58">
        <f t="shared" si="2"/>
        <v>0.1002962139</v>
      </c>
    </row>
    <row r="60" ht="12.0" customHeight="1">
      <c r="A60" s="62" t="s">
        <v>39</v>
      </c>
      <c r="B60" s="63" t="s">
        <v>107</v>
      </c>
      <c r="C60" s="64" t="str">
        <f>VLOOKUP(B60,Subsector!$A:$B,2,FALSE)</f>
        <v>Waste</v>
      </c>
      <c r="D60" s="57">
        <f>iferror(vlookup(B60,'Portfolio Positions'!$A:$F,4,false),0)</f>
        <v>7495.24</v>
      </c>
      <c r="E60" s="54">
        <f>iferror(VLOOKUP(B60,Betas!$B:$H,3,FALSE),0)</f>
        <v>0.96</v>
      </c>
      <c r="F60" s="54">
        <f>iferror(VLOOKUP(B60,Betas!$B:$H,4,FALSE),0)</f>
        <v>0.506</v>
      </c>
      <c r="G60" s="54">
        <f>iferror(VLOOKUP(B60,Betas!$B:$H,5,FALSE),0)</f>
        <v>-1.465</v>
      </c>
      <c r="H60" s="54">
        <f>iferror(VLOOKUP(B60,Betas!$B:$H,6,FALSE),0)</f>
        <v>-0.189</v>
      </c>
      <c r="I60" s="58">
        <f t="shared" si="1"/>
        <v>0.01099052317</v>
      </c>
      <c r="J60" s="58">
        <f t="shared" si="2"/>
        <v>0.1572971362</v>
      </c>
    </row>
    <row r="61" ht="12.0" customHeight="1">
      <c r="A61" s="62" t="s">
        <v>39</v>
      </c>
      <c r="B61" s="63" t="s">
        <v>108</v>
      </c>
      <c r="C61" s="64" t="str">
        <f>VLOOKUP(B61,Subsector!$A:$B,2,FALSE)</f>
        <v>Payments</v>
      </c>
      <c r="D61" s="57">
        <f>iferror(vlookup(B61,'Portfolio Positions'!$A:$F,4,false),0)</f>
        <v>7467.43</v>
      </c>
      <c r="E61" s="54">
        <f>iferror(VLOOKUP(B61,Betas!$B:$H,3,FALSE),0)</f>
        <v>0.84</v>
      </c>
      <c r="F61" s="54">
        <f>iferror(VLOOKUP(B61,Betas!$B:$H,4,FALSE),0)</f>
        <v>0.164</v>
      </c>
      <c r="G61" s="54">
        <f>iferror(VLOOKUP(B61,Betas!$B:$H,5,FALSE),0)</f>
        <v>-1.049</v>
      </c>
      <c r="H61" s="54">
        <f>iferror(VLOOKUP(B61,Betas!$B:$H,6,FALSE),0)</f>
        <v>1.292</v>
      </c>
      <c r="I61" s="58">
        <f t="shared" si="1"/>
        <v>0.01094974443</v>
      </c>
      <c r="J61" s="58">
        <f t="shared" si="2"/>
        <v>0.3996997206</v>
      </c>
    </row>
    <row r="62" ht="12.0" customHeight="1">
      <c r="A62" s="62" t="s">
        <v>39</v>
      </c>
      <c r="B62" s="63" t="s">
        <v>109</v>
      </c>
      <c r="C62" s="64" t="str">
        <f>VLOOKUP(B62,Subsector!$A:$B,2,FALSE)</f>
        <v>Digital Infra</v>
      </c>
      <c r="D62" s="57">
        <f>iferror(vlookup(B62,'Portfolio Positions'!$A:$F,4,false),0)</f>
        <v>11302.71</v>
      </c>
      <c r="E62" s="54">
        <f>iferror(VLOOKUP(B62,Betas!$B:$H,3,FALSE),0)</f>
        <v>2.196</v>
      </c>
      <c r="F62" s="54">
        <f>iferror(VLOOKUP(B62,Betas!$B:$H,4,FALSE),0)</f>
        <v>-0.005</v>
      </c>
      <c r="G62" s="54">
        <f>iferror(VLOOKUP(B62,Betas!$B:$H,5,FALSE),0)</f>
        <v>3.703</v>
      </c>
      <c r="H62" s="54">
        <f>iferror(VLOOKUP(B62,Betas!$B:$H,6,FALSE),0)</f>
        <v>-0.463</v>
      </c>
      <c r="I62" s="58">
        <f t="shared" si="1"/>
        <v>0.01657354483</v>
      </c>
      <c r="J62" s="58">
        <f t="shared" si="2"/>
        <v>0.1169791227</v>
      </c>
    </row>
    <row r="63" ht="12.0" customHeight="1">
      <c r="A63" s="62" t="s">
        <v>39</v>
      </c>
      <c r="B63" s="63" t="s">
        <v>110</v>
      </c>
      <c r="C63" s="64" t="str">
        <f>VLOOKUP(B63,Subsector!$A:$B,2,FALSE)</f>
        <v>Silver</v>
      </c>
      <c r="D63" s="57">
        <f>iferror(vlookup(B63,'Portfolio Positions'!$A:$F,4,false),0)</f>
        <v>5471.09</v>
      </c>
      <c r="E63" s="54">
        <f>iferror(VLOOKUP(B63,Betas!$B:$H,3,FALSE),0)</f>
        <v>0.125</v>
      </c>
      <c r="F63" s="54">
        <f>iferror(VLOOKUP(B63,Betas!$B:$H,4,FALSE),0)</f>
        <v>0.248</v>
      </c>
      <c r="G63" s="54">
        <f>iferror(VLOOKUP(B63,Betas!$B:$H,5,FALSE),0)</f>
        <v>0.226</v>
      </c>
      <c r="H63" s="54">
        <f>iferror(VLOOKUP(B63,Betas!$B:$H,6,FALSE),0)</f>
        <v>0.364</v>
      </c>
      <c r="I63" s="58">
        <f t="shared" si="1"/>
        <v>0.008022443768</v>
      </c>
      <c r="J63" s="58">
        <f t="shared" si="2"/>
        <v>0.09269582157</v>
      </c>
    </row>
    <row r="64" ht="12.0" customHeight="1">
      <c r="A64" s="62" t="s">
        <v>39</v>
      </c>
      <c r="B64" s="63" t="s">
        <v>111</v>
      </c>
      <c r="C64" s="64" t="str">
        <f>VLOOKUP(B64,Subsector!$A:$B,2,FALSE)</f>
        <v>Silver</v>
      </c>
      <c r="D64" s="57">
        <f>iferror(vlookup(B64,'Portfolio Positions'!$A:$F,4,false),0)</f>
        <v>5244.2</v>
      </c>
      <c r="E64" s="54">
        <f>iferror(VLOOKUP(B64,Betas!$B:$H,3,FALSE),0)</f>
        <v>0.349</v>
      </c>
      <c r="F64" s="54">
        <f>iferror(VLOOKUP(B64,Betas!$B:$H,4,FALSE),0)</f>
        <v>0.357</v>
      </c>
      <c r="G64" s="54">
        <f>iferror(VLOOKUP(B64,Betas!$B:$H,5,FALSE),0)</f>
        <v>0.012</v>
      </c>
      <c r="H64" s="54">
        <f>iferror(VLOOKUP(B64,Betas!$B:$H,6,FALSE),0)</f>
        <v>0.471</v>
      </c>
      <c r="I64" s="58">
        <f t="shared" si="1"/>
        <v>0.007689747309</v>
      </c>
      <c r="J64" s="58">
        <f t="shared" si="2"/>
        <v>0.08885165981</v>
      </c>
    </row>
    <row r="65" ht="12.0" customHeight="1">
      <c r="A65" s="62" t="s">
        <v>39</v>
      </c>
      <c r="B65" s="63" t="s">
        <v>112</v>
      </c>
      <c r="C65" s="64" t="str">
        <f>VLOOKUP(B65,Subsector!$A:$B,2,FALSE)</f>
        <v>Waste</v>
      </c>
      <c r="D65" s="57">
        <f>iferror(vlookup(B65,'Portfolio Positions'!$A:$F,4,false),0)</f>
        <v>8766.66</v>
      </c>
      <c r="E65" s="54">
        <f>iferror(VLOOKUP(B65,Betas!$B:$H,3,FALSE),0)</f>
        <v>0.227</v>
      </c>
      <c r="F65" s="54">
        <f>iferror(VLOOKUP(B65,Betas!$B:$H,4,FALSE),0)</f>
        <v>-0.111</v>
      </c>
      <c r="G65" s="54">
        <f>iferror(VLOOKUP(B65,Betas!$B:$H,5,FALSE),0)</f>
        <v>-0.831</v>
      </c>
      <c r="H65" s="54">
        <f>iferror(VLOOKUP(B65,Betas!$B:$H,6,FALSE),0)</f>
        <v>-0.005</v>
      </c>
      <c r="I65" s="58">
        <f t="shared" si="1"/>
        <v>0.01285484919</v>
      </c>
      <c r="J65" s="58">
        <f t="shared" si="2"/>
        <v>0.1839795006</v>
      </c>
    </row>
    <row r="66" ht="12.0" customHeight="1">
      <c r="A66" s="62" t="s">
        <v>39</v>
      </c>
      <c r="B66" s="63" t="s">
        <v>113</v>
      </c>
      <c r="C66" s="64" t="str">
        <f>VLOOKUP(B66,Subsector!$A:$B,2,FALSE)</f>
        <v>Digital Infra</v>
      </c>
      <c r="D66" s="57">
        <f>iferror(vlookup(B66,'Portfolio Positions'!$A:$F,4,false),0)</f>
        <v>6907.21</v>
      </c>
      <c r="E66" s="54">
        <f>iferror(VLOOKUP(B66,Betas!$B:$H,3,FALSE),0)</f>
        <v>1.231</v>
      </c>
      <c r="F66" s="54">
        <f>iferror(VLOOKUP(B66,Betas!$B:$H,4,FALSE),0)</f>
        <v>0.558</v>
      </c>
      <c r="G66" s="54">
        <f>iferror(VLOOKUP(B66,Betas!$B:$H,5,FALSE),0)</f>
        <v>-0.564</v>
      </c>
      <c r="H66" s="54">
        <f>iferror(VLOOKUP(B66,Betas!$B:$H,6,FALSE),0)</f>
        <v>0.741</v>
      </c>
      <c r="I66" s="58">
        <f t="shared" si="1"/>
        <v>0.01012827495</v>
      </c>
      <c r="J66" s="58">
        <f t="shared" si="2"/>
        <v>0.07148722439</v>
      </c>
    </row>
    <row r="67" ht="12.0" customHeight="1">
      <c r="A67" s="62" t="s">
        <v>39</v>
      </c>
      <c r="B67" s="63" t="s">
        <v>114</v>
      </c>
      <c r="C67" s="64" t="str">
        <f>VLOOKUP(B67,Subsector!$A:$B,2,FALSE)</f>
        <v>Payments</v>
      </c>
      <c r="D67" s="57">
        <f>iferror(vlookup(B67,'Portfolio Positions'!$A:$F,4,false),0)</f>
        <v>0</v>
      </c>
      <c r="E67" s="54">
        <f>iferror(VLOOKUP(B67,Betas!$B:$H,3,FALSE),0)</f>
        <v>1.3357</v>
      </c>
      <c r="F67" s="54">
        <f>iferror(VLOOKUP(B67,Betas!$B:$H,4,FALSE),0)</f>
        <v>-0.2139</v>
      </c>
      <c r="G67" s="54">
        <f>iferror(VLOOKUP(B67,Betas!$B:$H,5,FALSE),0)</f>
        <v>-0.0164</v>
      </c>
      <c r="H67" s="54">
        <f>iferror(VLOOKUP(B67,Betas!$B:$H,6,FALSE),0)</f>
        <v>0.2497</v>
      </c>
      <c r="I67" s="58">
        <f t="shared" si="1"/>
        <v>0</v>
      </c>
      <c r="J67" s="58">
        <f t="shared" si="2"/>
        <v>0</v>
      </c>
    </row>
    <row r="68" ht="12.0" customHeight="1">
      <c r="A68" s="71"/>
      <c r="B68" s="72"/>
      <c r="I68" s="73">
        <f>SUM(I3:I67)</f>
        <v>1</v>
      </c>
    </row>
    <row r="69" ht="12.0" customHeight="1">
      <c r="A69" s="71"/>
      <c r="B69" s="72"/>
    </row>
    <row r="70" ht="12.0" customHeight="1">
      <c r="A70" s="71"/>
      <c r="B70" s="72"/>
    </row>
    <row r="71" ht="12.0" customHeight="1">
      <c r="A71" s="71"/>
      <c r="B71" s="72"/>
    </row>
    <row r="72" ht="12.0" customHeight="1">
      <c r="A72" s="71"/>
      <c r="B72" s="72"/>
    </row>
    <row r="73" ht="12.0" customHeight="1">
      <c r="A73" s="71"/>
      <c r="B73" s="72"/>
    </row>
    <row r="74" ht="12.0" customHeight="1">
      <c r="A74" s="74"/>
      <c r="B74" s="74"/>
    </row>
    <row r="75" ht="12.0" customHeight="1">
      <c r="A75" s="74"/>
      <c r="B75" s="74"/>
    </row>
    <row r="76" ht="12.0" customHeight="1">
      <c r="A76" s="74"/>
      <c r="B76" s="74"/>
    </row>
    <row r="77" ht="12.0" customHeight="1">
      <c r="A77" s="74"/>
      <c r="B77" s="74"/>
    </row>
    <row r="78" ht="12.0" customHeight="1">
      <c r="A78" s="74"/>
      <c r="B78" s="74"/>
    </row>
    <row r="79" ht="12.0" customHeight="1">
      <c r="A79" s="74"/>
      <c r="B79" s="74"/>
    </row>
    <row r="80" ht="12.0" customHeight="1">
      <c r="A80" s="74"/>
      <c r="B80" s="74"/>
    </row>
    <row r="81" ht="12.0" customHeight="1">
      <c r="A81" s="74"/>
      <c r="B81" s="74"/>
    </row>
    <row r="82" ht="12.0" customHeight="1">
      <c r="A82" s="74"/>
      <c r="B82" s="74"/>
    </row>
    <row r="83" ht="12.0" customHeight="1">
      <c r="A83" s="74"/>
      <c r="B83" s="74"/>
    </row>
    <row r="84" ht="12.0" customHeight="1">
      <c r="A84" s="74"/>
      <c r="B84" s="74"/>
    </row>
    <row r="85" ht="12.0" customHeight="1">
      <c r="A85" s="74"/>
      <c r="B85" s="74"/>
    </row>
    <row r="86" ht="12.0" customHeight="1">
      <c r="A86" s="74"/>
      <c r="B86" s="74"/>
    </row>
    <row r="87" ht="12.0" customHeight="1">
      <c r="A87" s="74"/>
      <c r="B87" s="74"/>
    </row>
    <row r="88" ht="12.0" customHeight="1">
      <c r="A88" s="74"/>
      <c r="B88" s="74"/>
    </row>
    <row r="89" ht="12.0" customHeight="1">
      <c r="A89" s="74"/>
      <c r="B89" s="74"/>
    </row>
    <row r="90" ht="12.0" customHeight="1">
      <c r="A90" s="74"/>
      <c r="B90" s="74"/>
    </row>
    <row r="91" ht="12.0" customHeight="1">
      <c r="A91" s="74"/>
      <c r="B91" s="74"/>
    </row>
    <row r="92" ht="12.0" customHeight="1">
      <c r="A92" s="74"/>
      <c r="B92" s="74"/>
    </row>
    <row r="93" ht="12.0" customHeight="1">
      <c r="A93" s="74"/>
      <c r="B93" s="74"/>
    </row>
    <row r="94" ht="12.0" customHeight="1">
      <c r="A94" s="74"/>
      <c r="B94" s="74"/>
    </row>
    <row r="95" ht="12.0" customHeight="1">
      <c r="A95" s="74"/>
      <c r="B95" s="74"/>
    </row>
    <row r="96" ht="12.0" customHeight="1">
      <c r="A96" s="74"/>
      <c r="B96" s="74"/>
    </row>
    <row r="97" ht="12.0" customHeight="1">
      <c r="A97" s="74"/>
      <c r="B97" s="74"/>
    </row>
    <row r="98" ht="12.0" customHeight="1">
      <c r="A98" s="74"/>
      <c r="B98" s="74"/>
    </row>
    <row r="99" ht="12.0" customHeight="1">
      <c r="A99" s="74"/>
      <c r="B99" s="74"/>
    </row>
    <row r="100" ht="12.0" customHeight="1">
      <c r="A100" s="74"/>
      <c r="B100" s="74"/>
    </row>
    <row r="101" ht="12.0" customHeight="1">
      <c r="A101" s="74"/>
      <c r="B101" s="74"/>
    </row>
    <row r="102" ht="12.0" customHeight="1">
      <c r="A102" s="74"/>
      <c r="B102" s="74"/>
    </row>
    <row r="103" ht="12.0" customHeight="1">
      <c r="A103" s="74"/>
      <c r="B103" s="74"/>
    </row>
    <row r="104" ht="12.0" customHeight="1">
      <c r="A104" s="74"/>
      <c r="B104" s="74"/>
    </row>
    <row r="105" ht="12.0" customHeight="1">
      <c r="A105" s="74"/>
      <c r="B105" s="74"/>
    </row>
    <row r="106" ht="12.0" customHeight="1">
      <c r="A106" s="74"/>
      <c r="B106" s="74"/>
    </row>
    <row r="107" ht="12.0" customHeight="1">
      <c r="A107" s="74"/>
      <c r="B107" s="74"/>
    </row>
    <row r="108" ht="12.0" customHeight="1">
      <c r="A108" s="74"/>
      <c r="B108" s="74"/>
    </row>
    <row r="109" ht="12.0" customHeight="1">
      <c r="A109" s="74"/>
      <c r="B109" s="74"/>
    </row>
    <row r="110" ht="12.0" customHeight="1">
      <c r="A110" s="74"/>
      <c r="B110" s="74"/>
    </row>
    <row r="111" ht="12.0" customHeight="1">
      <c r="A111" s="74"/>
      <c r="B111" s="74"/>
    </row>
    <row r="112" ht="12.0" customHeight="1">
      <c r="A112" s="74"/>
      <c r="B112" s="74"/>
    </row>
    <row r="113" ht="12.0" customHeight="1">
      <c r="A113" s="74"/>
      <c r="B113" s="74"/>
    </row>
    <row r="114" ht="12.0" customHeight="1">
      <c r="A114" s="74"/>
      <c r="B114" s="74"/>
    </row>
    <row r="115" ht="12.0" customHeight="1">
      <c r="A115" s="74"/>
      <c r="B115" s="74"/>
    </row>
    <row r="116" ht="12.0" customHeight="1">
      <c r="A116" s="74"/>
      <c r="B116" s="74"/>
    </row>
    <row r="117" ht="12.0" customHeight="1">
      <c r="A117" s="74"/>
      <c r="B117" s="74"/>
    </row>
    <row r="118" ht="12.0" customHeight="1">
      <c r="A118" s="74"/>
      <c r="B118" s="74"/>
    </row>
    <row r="119" ht="12.0" customHeight="1">
      <c r="A119" s="74"/>
      <c r="B119" s="74"/>
    </row>
    <row r="120" ht="12.0" customHeight="1">
      <c r="A120" s="74"/>
      <c r="B120" s="74"/>
    </row>
    <row r="121" ht="12.0" customHeight="1">
      <c r="A121" s="74"/>
      <c r="B121" s="74"/>
    </row>
    <row r="122" ht="12.0" customHeight="1">
      <c r="A122" s="74"/>
      <c r="B122" s="74"/>
    </row>
    <row r="123" ht="12.0" customHeight="1">
      <c r="A123" s="74"/>
      <c r="B123" s="74"/>
    </row>
    <row r="124" ht="12.0" customHeight="1">
      <c r="A124" s="74"/>
      <c r="B124" s="74"/>
    </row>
    <row r="125" ht="12.0" customHeight="1">
      <c r="A125" s="74"/>
      <c r="B125" s="74"/>
    </row>
    <row r="126" ht="12.0" customHeight="1">
      <c r="A126" s="74"/>
      <c r="B126" s="74"/>
    </row>
    <row r="127" ht="12.0" customHeight="1">
      <c r="A127" s="74"/>
      <c r="B127" s="74"/>
    </row>
    <row r="128" ht="12.0" customHeight="1">
      <c r="A128" s="74"/>
      <c r="B128" s="74"/>
    </row>
    <row r="129" ht="12.0" customHeight="1">
      <c r="A129" s="74"/>
      <c r="B129" s="74"/>
    </row>
    <row r="130" ht="12.0" customHeight="1">
      <c r="A130" s="74"/>
      <c r="B130" s="74"/>
    </row>
    <row r="131" ht="12.0" customHeight="1">
      <c r="A131" s="74"/>
      <c r="B131" s="74"/>
    </row>
    <row r="132" ht="12.0" customHeight="1">
      <c r="A132" s="74"/>
      <c r="B132" s="74"/>
    </row>
    <row r="133" ht="12.0" customHeight="1">
      <c r="A133" s="74"/>
      <c r="B133" s="74"/>
    </row>
    <row r="134" ht="12.0" customHeight="1">
      <c r="A134" s="74"/>
      <c r="B134" s="74"/>
    </row>
    <row r="135" ht="12.0" customHeight="1">
      <c r="A135" s="74"/>
      <c r="B135" s="74"/>
    </row>
    <row r="136" ht="12.0" customHeight="1">
      <c r="A136" s="74"/>
      <c r="B136" s="74"/>
    </row>
    <row r="137" ht="12.0" customHeight="1">
      <c r="A137" s="74"/>
      <c r="B137" s="74"/>
    </row>
    <row r="138" ht="12.0" customHeight="1">
      <c r="A138" s="74"/>
      <c r="B138" s="74"/>
    </row>
    <row r="139" ht="12.0" customHeight="1">
      <c r="A139" s="74"/>
      <c r="B139" s="74"/>
    </row>
    <row r="140" ht="12.0" customHeight="1">
      <c r="A140" s="74"/>
      <c r="B140" s="74"/>
    </row>
    <row r="141" ht="12.0" customHeight="1">
      <c r="A141" s="74"/>
      <c r="B141" s="74"/>
    </row>
    <row r="142" ht="12.0" customHeight="1">
      <c r="A142" s="74"/>
      <c r="B142" s="74"/>
    </row>
    <row r="143" ht="12.0" customHeight="1">
      <c r="A143" s="74"/>
      <c r="B143" s="74"/>
    </row>
    <row r="144" ht="12.0" customHeight="1">
      <c r="A144" s="74"/>
      <c r="B144" s="74"/>
    </row>
    <row r="145" ht="12.0" customHeight="1">
      <c r="A145" s="74"/>
      <c r="B145" s="74"/>
    </row>
    <row r="146" ht="12.0" customHeight="1">
      <c r="A146" s="74"/>
      <c r="B146" s="74"/>
    </row>
    <row r="147" ht="12.0" customHeight="1">
      <c r="A147" s="74"/>
      <c r="B147" s="74"/>
    </row>
    <row r="148" ht="12.0" customHeight="1">
      <c r="A148" s="74"/>
      <c r="B148" s="74"/>
    </row>
    <row r="149" ht="12.0" customHeight="1">
      <c r="A149" s="74"/>
      <c r="B149" s="74"/>
    </row>
    <row r="150" ht="12.0" customHeight="1">
      <c r="A150" s="74"/>
      <c r="B150" s="74"/>
    </row>
    <row r="151" ht="12.0" customHeight="1">
      <c r="A151" s="74"/>
      <c r="B151" s="74"/>
    </row>
    <row r="152" ht="12.0" customHeight="1">
      <c r="A152" s="74"/>
      <c r="B152" s="74"/>
    </row>
    <row r="153" ht="12.0" customHeight="1">
      <c r="A153" s="74"/>
      <c r="B153" s="74"/>
    </row>
    <row r="154" ht="12.0" customHeight="1">
      <c r="A154" s="74"/>
      <c r="B154" s="74"/>
    </row>
    <row r="155" ht="12.0" customHeight="1">
      <c r="A155" s="74"/>
      <c r="B155" s="74"/>
    </row>
    <row r="156" ht="12.0" customHeight="1">
      <c r="A156" s="74"/>
      <c r="B156" s="74"/>
    </row>
    <row r="157" ht="12.0" customHeight="1">
      <c r="A157" s="74"/>
      <c r="B157" s="74"/>
    </row>
    <row r="158" ht="12.0" customHeight="1">
      <c r="A158" s="74"/>
      <c r="B158" s="74"/>
    </row>
    <row r="159" ht="12.0" customHeight="1">
      <c r="A159" s="74"/>
      <c r="B159" s="74"/>
    </row>
    <row r="160" ht="12.0" customHeight="1">
      <c r="A160" s="74"/>
      <c r="B160" s="74"/>
    </row>
    <row r="161" ht="12.0" customHeight="1">
      <c r="A161" s="74"/>
      <c r="B161" s="74"/>
    </row>
    <row r="162" ht="12.0" customHeight="1">
      <c r="A162" s="74"/>
      <c r="B162" s="74"/>
    </row>
    <row r="163" ht="12.0" customHeight="1">
      <c r="A163" s="74"/>
      <c r="B163" s="74"/>
    </row>
    <row r="164" ht="12.0" customHeight="1">
      <c r="A164" s="74"/>
      <c r="B164" s="74"/>
    </row>
    <row r="165" ht="12.0" customHeight="1">
      <c r="A165" s="74"/>
      <c r="B165" s="74"/>
    </row>
    <row r="166" ht="12.0" customHeight="1">
      <c r="A166" s="74"/>
      <c r="B166" s="74"/>
    </row>
    <row r="167" ht="12.0" customHeight="1">
      <c r="A167" s="74"/>
      <c r="B167" s="74"/>
    </row>
    <row r="168" ht="12.0" customHeight="1">
      <c r="A168" s="74"/>
      <c r="B168" s="74"/>
    </row>
    <row r="169" ht="12.0" customHeight="1">
      <c r="A169" s="74"/>
      <c r="B169" s="74"/>
    </row>
    <row r="170" ht="12.0" customHeight="1">
      <c r="A170" s="74"/>
      <c r="B170" s="74"/>
    </row>
    <row r="171" ht="12.0" customHeight="1">
      <c r="A171" s="74"/>
      <c r="B171" s="74"/>
    </row>
    <row r="172" ht="12.0" customHeight="1">
      <c r="A172" s="74"/>
      <c r="B172" s="74"/>
    </row>
    <row r="173" ht="12.0" customHeight="1">
      <c r="A173" s="74"/>
      <c r="B173" s="74"/>
    </row>
    <row r="174" ht="12.0" customHeight="1">
      <c r="A174" s="74"/>
      <c r="B174" s="74"/>
    </row>
    <row r="175" ht="12.0" customHeight="1">
      <c r="A175" s="74"/>
      <c r="B175" s="74"/>
    </row>
    <row r="176" ht="12.0" customHeight="1">
      <c r="A176" s="74"/>
      <c r="B176" s="74"/>
    </row>
    <row r="177" ht="12.0" customHeight="1">
      <c r="A177" s="74"/>
      <c r="B177" s="74"/>
    </row>
    <row r="178" ht="12.0" customHeight="1">
      <c r="A178" s="74"/>
      <c r="B178" s="74"/>
    </row>
    <row r="179" ht="12.0" customHeight="1">
      <c r="A179" s="74"/>
      <c r="B179" s="74"/>
    </row>
    <row r="180" ht="12.0" customHeight="1">
      <c r="A180" s="74"/>
      <c r="B180" s="74"/>
    </row>
    <row r="181" ht="12.0" customHeight="1">
      <c r="A181" s="74"/>
      <c r="B181" s="74"/>
    </row>
    <row r="182" ht="12.0" customHeight="1">
      <c r="A182" s="74"/>
      <c r="B182" s="74"/>
    </row>
    <row r="183" ht="12.0" customHeight="1">
      <c r="A183" s="74"/>
      <c r="B183" s="74"/>
    </row>
    <row r="184" ht="12.0" customHeight="1">
      <c r="A184" s="74"/>
      <c r="B184" s="74"/>
    </row>
    <row r="185" ht="12.0" customHeight="1">
      <c r="A185" s="74"/>
      <c r="B185" s="74"/>
    </row>
    <row r="186" ht="12.0" customHeight="1">
      <c r="A186" s="74"/>
      <c r="B186" s="74"/>
    </row>
    <row r="187" ht="12.0" customHeight="1">
      <c r="A187" s="74"/>
      <c r="B187" s="74"/>
    </row>
    <row r="188" ht="12.0" customHeight="1">
      <c r="A188" s="74"/>
      <c r="B188" s="74"/>
    </row>
    <row r="189" ht="12.0" customHeight="1">
      <c r="A189" s="74"/>
      <c r="B189" s="74"/>
    </row>
    <row r="190" ht="12.0" customHeight="1">
      <c r="A190" s="74"/>
      <c r="B190" s="74"/>
    </row>
    <row r="191" ht="12.0" customHeight="1">
      <c r="A191" s="74"/>
      <c r="B191" s="74"/>
    </row>
    <row r="192" ht="12.0" customHeight="1">
      <c r="A192" s="74"/>
      <c r="B192" s="74"/>
    </row>
    <row r="193" ht="12.0" customHeight="1">
      <c r="A193" s="74"/>
      <c r="B193" s="74"/>
    </row>
    <row r="194" ht="12.0" customHeight="1">
      <c r="A194" s="74"/>
      <c r="B194" s="74"/>
    </row>
    <row r="195" ht="12.0" customHeight="1">
      <c r="A195" s="74"/>
      <c r="B195" s="74"/>
    </row>
    <row r="196" ht="12.0" customHeight="1">
      <c r="A196" s="74"/>
      <c r="B196" s="74"/>
    </row>
    <row r="197" ht="12.0" customHeight="1">
      <c r="A197" s="74"/>
      <c r="B197" s="74"/>
    </row>
    <row r="198" ht="12.0" customHeight="1">
      <c r="A198" s="74"/>
      <c r="B198" s="74"/>
    </row>
    <row r="199" ht="12.0" customHeight="1">
      <c r="A199" s="74"/>
      <c r="B199" s="74"/>
    </row>
    <row r="200" ht="12.0" customHeight="1">
      <c r="A200" s="74"/>
      <c r="B200" s="74"/>
    </row>
    <row r="201" ht="12.0" customHeight="1">
      <c r="A201" s="74"/>
      <c r="B201" s="74"/>
    </row>
    <row r="202" ht="12.0" customHeight="1">
      <c r="A202" s="74"/>
      <c r="B202" s="74"/>
    </row>
    <row r="203" ht="12.0" customHeight="1">
      <c r="A203" s="74"/>
      <c r="B203" s="74"/>
    </row>
    <row r="204" ht="12.0" customHeight="1">
      <c r="A204" s="74"/>
      <c r="B204" s="74"/>
    </row>
    <row r="205" ht="12.0" customHeight="1">
      <c r="A205" s="74"/>
      <c r="B205" s="74"/>
    </row>
    <row r="206" ht="12.0" customHeight="1">
      <c r="A206" s="74"/>
      <c r="B206" s="74"/>
    </row>
    <row r="207" ht="12.0" customHeight="1">
      <c r="A207" s="74"/>
      <c r="B207" s="74"/>
    </row>
    <row r="208" ht="12.0" customHeight="1">
      <c r="A208" s="74"/>
      <c r="B208" s="74"/>
    </row>
    <row r="209" ht="12.0" customHeight="1">
      <c r="A209" s="74"/>
      <c r="B209" s="74"/>
    </row>
    <row r="210" ht="12.0" customHeight="1">
      <c r="A210" s="74"/>
      <c r="B210" s="74"/>
    </row>
    <row r="211" ht="12.0" customHeight="1">
      <c r="A211" s="74"/>
      <c r="B211" s="74"/>
    </row>
    <row r="212" ht="12.0" customHeight="1">
      <c r="A212" s="74"/>
      <c r="B212" s="74"/>
    </row>
    <row r="213" ht="12.0" customHeight="1">
      <c r="A213" s="74"/>
      <c r="B213" s="74"/>
    </row>
    <row r="214" ht="12.0" customHeight="1">
      <c r="A214" s="74"/>
      <c r="B214" s="74"/>
    </row>
    <row r="215" ht="12.0" customHeight="1">
      <c r="A215" s="74"/>
      <c r="B215" s="74"/>
    </row>
    <row r="216" ht="12.0" customHeight="1">
      <c r="A216" s="74"/>
      <c r="B216" s="74"/>
    </row>
    <row r="217" ht="12.0" customHeight="1">
      <c r="A217" s="74"/>
      <c r="B217" s="74"/>
    </row>
    <row r="218" ht="12.0" customHeight="1">
      <c r="A218" s="74"/>
      <c r="B218" s="74"/>
    </row>
    <row r="219" ht="12.0" customHeight="1">
      <c r="A219" s="74"/>
      <c r="B219" s="74"/>
    </row>
    <row r="220" ht="12.0" customHeight="1">
      <c r="A220" s="74"/>
      <c r="B220" s="74"/>
    </row>
    <row r="221" ht="12.0" customHeight="1">
      <c r="A221" s="74"/>
      <c r="B221" s="74"/>
    </row>
    <row r="222" ht="12.0" customHeight="1">
      <c r="A222" s="74"/>
      <c r="B222" s="74"/>
    </row>
    <row r="223" ht="12.0" customHeight="1">
      <c r="A223" s="74"/>
      <c r="B223" s="74"/>
    </row>
    <row r="224" ht="12.0" customHeight="1">
      <c r="A224" s="74"/>
      <c r="B224" s="74"/>
    </row>
    <row r="225" ht="12.0" customHeight="1">
      <c r="A225" s="74"/>
      <c r="B225" s="74"/>
    </row>
    <row r="226" ht="12.0" customHeight="1">
      <c r="A226" s="74"/>
      <c r="B226" s="74"/>
    </row>
    <row r="227" ht="12.0" customHeight="1">
      <c r="A227" s="74"/>
      <c r="B227" s="74"/>
    </row>
    <row r="228" ht="12.0" customHeight="1">
      <c r="A228" s="74"/>
      <c r="B228" s="74"/>
    </row>
    <row r="229" ht="12.0" customHeight="1">
      <c r="A229" s="74"/>
      <c r="B229" s="74"/>
    </row>
    <row r="230" ht="12.0" customHeight="1">
      <c r="A230" s="74"/>
      <c r="B230" s="74"/>
    </row>
    <row r="231" ht="12.0" customHeight="1">
      <c r="A231" s="74"/>
      <c r="B231" s="74"/>
    </row>
    <row r="232" ht="12.0" customHeight="1">
      <c r="A232" s="74"/>
      <c r="B232" s="74"/>
    </row>
    <row r="233" ht="12.0" customHeight="1">
      <c r="A233" s="74"/>
      <c r="B233" s="74"/>
    </row>
    <row r="234" ht="12.0" customHeight="1">
      <c r="A234" s="74"/>
      <c r="B234" s="74"/>
    </row>
    <row r="235" ht="12.0" customHeight="1">
      <c r="A235" s="74"/>
      <c r="B235" s="74"/>
    </row>
    <row r="236" ht="12.0" customHeight="1">
      <c r="A236" s="74"/>
      <c r="B236" s="74"/>
    </row>
    <row r="237" ht="12.0" customHeight="1">
      <c r="A237" s="74"/>
      <c r="B237" s="74"/>
    </row>
    <row r="238" ht="12.0" customHeight="1">
      <c r="A238" s="74"/>
      <c r="B238" s="74"/>
    </row>
    <row r="239" ht="12.0" customHeight="1">
      <c r="A239" s="74"/>
      <c r="B239" s="74"/>
    </row>
    <row r="240" ht="12.0" customHeight="1">
      <c r="A240" s="74"/>
      <c r="B240" s="74"/>
    </row>
    <row r="241" ht="12.0" customHeight="1">
      <c r="A241" s="74"/>
      <c r="B241" s="74"/>
    </row>
    <row r="242" ht="12.0" customHeight="1">
      <c r="A242" s="74"/>
      <c r="B242" s="74"/>
    </row>
    <row r="243" ht="12.0" customHeight="1">
      <c r="A243" s="74"/>
      <c r="B243" s="74"/>
    </row>
    <row r="244" ht="12.0" customHeight="1">
      <c r="A244" s="74"/>
      <c r="B244" s="74"/>
    </row>
    <row r="245" ht="12.0" customHeight="1">
      <c r="A245" s="74"/>
      <c r="B245" s="74"/>
    </row>
    <row r="246" ht="12.0" customHeight="1">
      <c r="A246" s="74"/>
      <c r="B246" s="74"/>
    </row>
    <row r="247" ht="12.0" customHeight="1">
      <c r="A247" s="74"/>
      <c r="B247" s="74"/>
    </row>
    <row r="248" ht="12.0" customHeight="1">
      <c r="A248" s="74"/>
      <c r="B248" s="74"/>
    </row>
    <row r="249" ht="12.0" customHeight="1">
      <c r="A249" s="74"/>
      <c r="B249" s="74"/>
    </row>
    <row r="250" ht="12.0" customHeight="1">
      <c r="A250" s="74"/>
      <c r="B250" s="74"/>
    </row>
    <row r="251" ht="12.0" customHeight="1">
      <c r="A251" s="74"/>
      <c r="B251" s="74"/>
    </row>
    <row r="252" ht="12.0" customHeight="1">
      <c r="A252" s="74"/>
      <c r="B252" s="74"/>
    </row>
    <row r="253" ht="12.0" customHeight="1">
      <c r="A253" s="74"/>
      <c r="B253" s="74"/>
    </row>
    <row r="254" ht="12.0" customHeight="1">
      <c r="A254" s="74"/>
      <c r="B254" s="74"/>
    </row>
    <row r="255" ht="12.0" customHeight="1">
      <c r="A255" s="74"/>
      <c r="B255" s="74"/>
    </row>
    <row r="256" ht="12.0" customHeight="1">
      <c r="A256" s="74"/>
      <c r="B256" s="74"/>
    </row>
    <row r="257" ht="12.0" customHeight="1">
      <c r="A257" s="74"/>
      <c r="B257" s="74"/>
    </row>
    <row r="258" ht="12.0" customHeight="1">
      <c r="A258" s="74"/>
      <c r="B258" s="74"/>
    </row>
    <row r="259" ht="12.0" customHeight="1">
      <c r="A259" s="74"/>
      <c r="B259" s="74"/>
    </row>
    <row r="260" ht="12.0" customHeight="1">
      <c r="A260" s="74"/>
      <c r="B260" s="74"/>
    </row>
    <row r="261" ht="12.0" customHeight="1">
      <c r="A261" s="74"/>
      <c r="B261" s="74"/>
    </row>
    <row r="262" ht="12.0" customHeight="1">
      <c r="A262" s="74"/>
      <c r="B262" s="74"/>
    </row>
    <row r="263" ht="12.0" customHeight="1">
      <c r="A263" s="74"/>
      <c r="B263" s="74"/>
    </row>
    <row r="264" ht="12.0" customHeight="1">
      <c r="A264" s="74"/>
      <c r="B264" s="74"/>
    </row>
    <row r="265" ht="12.0" customHeight="1">
      <c r="A265" s="74"/>
      <c r="B265" s="74"/>
    </row>
    <row r="266" ht="12.0" customHeight="1">
      <c r="A266" s="74"/>
      <c r="B266" s="74"/>
    </row>
    <row r="267" ht="12.0" customHeight="1">
      <c r="A267" s="74"/>
      <c r="B267" s="74"/>
    </row>
    <row r="268" ht="12.0" customHeight="1">
      <c r="A268" s="74"/>
      <c r="B268" s="74"/>
    </row>
    <row r="269" ht="12.0" customHeight="1">
      <c r="A269" s="74"/>
      <c r="B269" s="74"/>
    </row>
    <row r="270" ht="12.0" customHeight="1">
      <c r="A270" s="74"/>
      <c r="B270" s="74"/>
    </row>
    <row r="271" ht="12.0" customHeight="1">
      <c r="A271" s="74"/>
      <c r="B271" s="74"/>
    </row>
    <row r="272" ht="12.0" customHeight="1">
      <c r="A272" s="74"/>
      <c r="B272" s="74"/>
    </row>
    <row r="273" ht="12.0" customHeight="1">
      <c r="A273" s="74"/>
      <c r="B273" s="74"/>
    </row>
    <row r="274" ht="12.0" customHeight="1">
      <c r="A274" s="74"/>
      <c r="B274" s="74"/>
    </row>
    <row r="275" ht="12.0" customHeight="1">
      <c r="A275" s="74"/>
      <c r="B275" s="74"/>
    </row>
    <row r="276" ht="12.0" customHeight="1">
      <c r="A276" s="74"/>
      <c r="B276" s="74"/>
    </row>
    <row r="277" ht="12.0" customHeight="1">
      <c r="A277" s="74"/>
      <c r="B277" s="74"/>
    </row>
    <row r="278" ht="12.0" customHeight="1">
      <c r="A278" s="74"/>
      <c r="B278" s="74"/>
    </row>
    <row r="279" ht="12.0" customHeight="1">
      <c r="A279" s="74"/>
      <c r="B279" s="74"/>
    </row>
    <row r="280" ht="12.0" customHeight="1">
      <c r="A280" s="74"/>
      <c r="B280" s="74"/>
    </row>
    <row r="281" ht="12.0" customHeight="1">
      <c r="A281" s="74"/>
      <c r="B281" s="74"/>
    </row>
    <row r="282" ht="12.0" customHeight="1">
      <c r="A282" s="74"/>
      <c r="B282" s="74"/>
    </row>
    <row r="283" ht="12.0" customHeight="1">
      <c r="A283" s="74"/>
      <c r="B283" s="74"/>
    </row>
    <row r="284" ht="12.0" customHeight="1">
      <c r="A284" s="74"/>
      <c r="B284" s="74"/>
    </row>
    <row r="285" ht="12.0" customHeight="1">
      <c r="A285" s="74"/>
      <c r="B285" s="74"/>
    </row>
    <row r="286" ht="12.0" customHeight="1">
      <c r="A286" s="74"/>
      <c r="B286" s="74"/>
    </row>
    <row r="287" ht="12.0" customHeight="1">
      <c r="A287" s="74"/>
      <c r="B287" s="74"/>
    </row>
    <row r="288" ht="12.0" customHeight="1">
      <c r="A288" s="74"/>
      <c r="B288" s="74"/>
    </row>
    <row r="289" ht="12.0" customHeight="1">
      <c r="A289" s="74"/>
      <c r="B289" s="74"/>
    </row>
    <row r="290" ht="12.0" customHeight="1">
      <c r="A290" s="74"/>
      <c r="B290" s="74"/>
    </row>
    <row r="291" ht="12.0" customHeight="1">
      <c r="A291" s="74"/>
      <c r="B291" s="74"/>
    </row>
    <row r="292" ht="12.0" customHeight="1">
      <c r="A292" s="74"/>
      <c r="B292" s="74"/>
    </row>
    <row r="293" ht="12.0" customHeight="1">
      <c r="A293" s="74"/>
      <c r="B293" s="74"/>
    </row>
    <row r="294" ht="12.0" customHeight="1">
      <c r="A294" s="74"/>
      <c r="B294" s="74"/>
    </row>
    <row r="295" ht="12.0" customHeight="1">
      <c r="A295" s="74"/>
      <c r="B295" s="74"/>
    </row>
    <row r="296" ht="12.0" customHeight="1">
      <c r="A296" s="74"/>
      <c r="B296" s="74"/>
    </row>
    <row r="297" ht="12.0" customHeight="1">
      <c r="A297" s="74"/>
      <c r="B297" s="74"/>
    </row>
    <row r="298" ht="12.0" customHeight="1">
      <c r="A298" s="74"/>
      <c r="B298" s="74"/>
    </row>
    <row r="299" ht="12.0" customHeight="1">
      <c r="A299" s="74"/>
      <c r="B299" s="74"/>
    </row>
    <row r="300" ht="12.0" customHeight="1">
      <c r="A300" s="74"/>
      <c r="B300" s="74"/>
    </row>
    <row r="301" ht="12.0" customHeight="1">
      <c r="A301" s="74"/>
      <c r="B301" s="74"/>
    </row>
    <row r="302" ht="12.0" customHeight="1">
      <c r="A302" s="74"/>
      <c r="B302" s="74"/>
    </row>
    <row r="303" ht="12.0" customHeight="1">
      <c r="A303" s="74"/>
      <c r="B303" s="74"/>
    </row>
    <row r="304" ht="12.0" customHeight="1">
      <c r="A304" s="74"/>
      <c r="B304" s="74"/>
    </row>
    <row r="305" ht="12.0" customHeight="1">
      <c r="A305" s="74"/>
      <c r="B305" s="74"/>
    </row>
    <row r="306" ht="12.0" customHeight="1">
      <c r="A306" s="74"/>
      <c r="B306" s="74"/>
    </row>
    <row r="307" ht="12.0" customHeight="1">
      <c r="A307" s="74"/>
      <c r="B307" s="74"/>
    </row>
    <row r="308" ht="12.0" customHeight="1">
      <c r="A308" s="74"/>
      <c r="B308" s="74"/>
    </row>
    <row r="309" ht="12.0" customHeight="1">
      <c r="A309" s="74"/>
      <c r="B309" s="74"/>
    </row>
    <row r="310" ht="12.0" customHeight="1">
      <c r="A310" s="74"/>
      <c r="B310" s="74"/>
    </row>
    <row r="311" ht="12.0" customHeight="1">
      <c r="A311" s="74"/>
      <c r="B311" s="74"/>
    </row>
    <row r="312" ht="12.0" customHeight="1">
      <c r="A312" s="74"/>
      <c r="B312" s="74"/>
    </row>
    <row r="313" ht="12.0" customHeight="1">
      <c r="A313" s="74"/>
      <c r="B313" s="74"/>
    </row>
    <row r="314" ht="12.0" customHeight="1">
      <c r="A314" s="74"/>
      <c r="B314" s="74"/>
    </row>
    <row r="315" ht="12.0" customHeight="1">
      <c r="A315" s="74"/>
      <c r="B315" s="74"/>
    </row>
    <row r="316" ht="12.0" customHeight="1">
      <c r="A316" s="74"/>
      <c r="B316" s="74"/>
    </row>
    <row r="317" ht="12.0" customHeight="1">
      <c r="A317" s="74"/>
      <c r="B317" s="74"/>
    </row>
    <row r="318" ht="12.0" customHeight="1">
      <c r="A318" s="74"/>
      <c r="B318" s="74"/>
    </row>
    <row r="319" ht="12.0" customHeight="1">
      <c r="A319" s="74"/>
      <c r="B319" s="74"/>
    </row>
    <row r="320" ht="12.0" customHeight="1">
      <c r="A320" s="74"/>
      <c r="B320" s="74"/>
    </row>
    <row r="321" ht="12.0" customHeight="1">
      <c r="A321" s="74"/>
      <c r="B321" s="74"/>
    </row>
    <row r="322" ht="12.0" customHeight="1">
      <c r="A322" s="74"/>
      <c r="B322" s="74"/>
    </row>
    <row r="323" ht="12.0" customHeight="1">
      <c r="A323" s="74"/>
      <c r="B323" s="74"/>
    </row>
    <row r="324" ht="12.0" customHeight="1">
      <c r="A324" s="74"/>
      <c r="B324" s="74"/>
    </row>
    <row r="325" ht="12.0" customHeight="1">
      <c r="A325" s="74"/>
      <c r="B325" s="74"/>
    </row>
    <row r="326" ht="12.0" customHeight="1">
      <c r="A326" s="74"/>
      <c r="B326" s="74"/>
    </row>
    <row r="327" ht="12.0" customHeight="1">
      <c r="A327" s="74"/>
      <c r="B327" s="74"/>
    </row>
    <row r="328" ht="12.0" customHeight="1">
      <c r="A328" s="74"/>
      <c r="B328" s="74"/>
    </row>
    <row r="329" ht="12.0" customHeight="1">
      <c r="A329" s="74"/>
      <c r="B329" s="74"/>
    </row>
    <row r="330" ht="12.0" customHeight="1">
      <c r="A330" s="74"/>
      <c r="B330" s="74"/>
    </row>
    <row r="331" ht="12.0" customHeight="1">
      <c r="A331" s="74"/>
      <c r="B331" s="74"/>
    </row>
    <row r="332" ht="12.0" customHeight="1">
      <c r="A332" s="74"/>
      <c r="B332" s="74"/>
    </row>
    <row r="333" ht="12.0" customHeight="1">
      <c r="A333" s="74"/>
      <c r="B333" s="74"/>
    </row>
    <row r="334" ht="12.0" customHeight="1">
      <c r="A334" s="74"/>
      <c r="B334" s="74"/>
    </row>
    <row r="335" ht="12.0" customHeight="1">
      <c r="A335" s="74"/>
      <c r="B335" s="74"/>
    </row>
    <row r="336" ht="12.0" customHeight="1">
      <c r="A336" s="74"/>
      <c r="B336" s="74"/>
    </row>
    <row r="337" ht="12.0" customHeight="1">
      <c r="A337" s="74"/>
      <c r="B337" s="74"/>
    </row>
    <row r="338" ht="12.0" customHeight="1">
      <c r="A338" s="74"/>
      <c r="B338" s="74"/>
    </row>
    <row r="339" ht="12.0" customHeight="1">
      <c r="A339" s="74"/>
      <c r="B339" s="74"/>
    </row>
    <row r="340" ht="12.0" customHeight="1">
      <c r="A340" s="74"/>
      <c r="B340" s="74"/>
    </row>
    <row r="341" ht="12.0" customHeight="1">
      <c r="A341" s="74"/>
      <c r="B341" s="74"/>
    </row>
    <row r="342" ht="12.0" customHeight="1">
      <c r="A342" s="74"/>
      <c r="B342" s="74"/>
    </row>
    <row r="343" ht="12.0" customHeight="1">
      <c r="A343" s="74"/>
      <c r="B343" s="74"/>
    </row>
    <row r="344" ht="12.0" customHeight="1">
      <c r="A344" s="74"/>
      <c r="B344" s="74"/>
    </row>
    <row r="345" ht="12.0" customHeight="1">
      <c r="A345" s="74"/>
      <c r="B345" s="74"/>
    </row>
    <row r="346" ht="12.0" customHeight="1">
      <c r="A346" s="74"/>
      <c r="B346" s="74"/>
    </row>
    <row r="347" ht="12.0" customHeight="1">
      <c r="A347" s="74"/>
      <c r="B347" s="74"/>
    </row>
    <row r="348" ht="12.0" customHeight="1">
      <c r="A348" s="74"/>
      <c r="B348" s="74"/>
    </row>
    <row r="349" ht="12.0" customHeight="1">
      <c r="A349" s="74"/>
      <c r="B349" s="74"/>
    </row>
    <row r="350" ht="12.0" customHeight="1">
      <c r="A350" s="74"/>
      <c r="B350" s="74"/>
    </row>
    <row r="351" ht="12.0" customHeight="1">
      <c r="A351" s="74"/>
      <c r="B351" s="74"/>
    </row>
    <row r="352" ht="12.0" customHeight="1">
      <c r="A352" s="74"/>
      <c r="B352" s="74"/>
    </row>
    <row r="353" ht="12.0" customHeight="1">
      <c r="A353" s="74"/>
      <c r="B353" s="74"/>
    </row>
    <row r="354" ht="12.0" customHeight="1">
      <c r="A354" s="74"/>
      <c r="B354" s="74"/>
    </row>
    <row r="355" ht="12.0" customHeight="1">
      <c r="A355" s="74"/>
      <c r="B355" s="74"/>
    </row>
    <row r="356" ht="12.0" customHeight="1">
      <c r="A356" s="74"/>
      <c r="B356" s="74"/>
    </row>
    <row r="357" ht="12.0" customHeight="1">
      <c r="A357" s="74"/>
      <c r="B357" s="74"/>
    </row>
    <row r="358" ht="12.0" customHeight="1">
      <c r="A358" s="74"/>
      <c r="B358" s="74"/>
    </row>
    <row r="359" ht="12.0" customHeight="1">
      <c r="A359" s="74"/>
      <c r="B359" s="74"/>
    </row>
    <row r="360" ht="12.0" customHeight="1">
      <c r="A360" s="74"/>
      <c r="B360" s="74"/>
    </row>
    <row r="361" ht="12.0" customHeight="1">
      <c r="A361" s="74"/>
      <c r="B361" s="74"/>
    </row>
    <row r="362" ht="12.0" customHeight="1">
      <c r="A362" s="74"/>
      <c r="B362" s="74"/>
    </row>
    <row r="363" ht="12.0" customHeight="1">
      <c r="A363" s="74"/>
      <c r="B363" s="74"/>
    </row>
    <row r="364" ht="12.0" customHeight="1">
      <c r="A364" s="74"/>
      <c r="B364" s="74"/>
    </row>
    <row r="365" ht="12.0" customHeight="1">
      <c r="A365" s="74"/>
      <c r="B365" s="74"/>
    </row>
    <row r="366" ht="12.0" customHeight="1">
      <c r="A366" s="74"/>
      <c r="B366" s="74"/>
    </row>
    <row r="367" ht="12.0" customHeight="1">
      <c r="A367" s="74"/>
      <c r="B367" s="74"/>
    </row>
    <row r="368" ht="12.0" customHeight="1">
      <c r="A368" s="74"/>
      <c r="B368" s="74"/>
    </row>
    <row r="369" ht="12.0" customHeight="1">
      <c r="A369" s="74"/>
      <c r="B369" s="74"/>
    </row>
    <row r="370" ht="12.0" customHeight="1">
      <c r="A370" s="74"/>
      <c r="B370" s="74"/>
    </row>
    <row r="371" ht="12.0" customHeight="1">
      <c r="A371" s="74"/>
      <c r="B371" s="74"/>
    </row>
    <row r="372" ht="12.0" customHeight="1">
      <c r="A372" s="74"/>
      <c r="B372" s="74"/>
    </row>
    <row r="373" ht="12.0" customHeight="1">
      <c r="A373" s="74"/>
      <c r="B373" s="74"/>
    </row>
    <row r="374" ht="12.0" customHeight="1">
      <c r="A374" s="74"/>
      <c r="B374" s="74"/>
    </row>
    <row r="375" ht="12.0" customHeight="1">
      <c r="A375" s="74"/>
      <c r="B375" s="74"/>
    </row>
    <row r="376" ht="12.0" customHeight="1">
      <c r="A376" s="74"/>
      <c r="B376" s="74"/>
    </row>
    <row r="377" ht="12.0" customHeight="1">
      <c r="A377" s="74"/>
      <c r="B377" s="74"/>
    </row>
    <row r="378" ht="12.0" customHeight="1">
      <c r="A378" s="74"/>
      <c r="B378" s="74"/>
    </row>
    <row r="379" ht="12.0" customHeight="1">
      <c r="A379" s="74"/>
      <c r="B379" s="74"/>
    </row>
    <row r="380" ht="12.0" customHeight="1">
      <c r="A380" s="74"/>
      <c r="B380" s="74"/>
    </row>
    <row r="381" ht="12.0" customHeight="1">
      <c r="A381" s="74"/>
      <c r="B381" s="74"/>
    </row>
    <row r="382" ht="12.0" customHeight="1">
      <c r="A382" s="74"/>
      <c r="B382" s="74"/>
    </row>
    <row r="383" ht="12.0" customHeight="1">
      <c r="A383" s="74"/>
      <c r="B383" s="74"/>
    </row>
    <row r="384" ht="12.0" customHeight="1">
      <c r="A384" s="74"/>
      <c r="B384" s="74"/>
    </row>
    <row r="385" ht="12.0" customHeight="1">
      <c r="A385" s="74"/>
      <c r="B385" s="74"/>
    </row>
    <row r="386" ht="12.0" customHeight="1">
      <c r="A386" s="74"/>
      <c r="B386" s="74"/>
    </row>
    <row r="387" ht="12.0" customHeight="1">
      <c r="A387" s="74"/>
      <c r="B387" s="74"/>
    </row>
    <row r="388" ht="12.0" customHeight="1">
      <c r="A388" s="74"/>
      <c r="B388" s="74"/>
    </row>
    <row r="389" ht="12.0" customHeight="1">
      <c r="A389" s="74"/>
      <c r="B389" s="74"/>
    </row>
    <row r="390" ht="12.0" customHeight="1">
      <c r="A390" s="74"/>
      <c r="B390" s="74"/>
    </row>
    <row r="391" ht="12.0" customHeight="1">
      <c r="A391" s="74"/>
      <c r="B391" s="74"/>
    </row>
    <row r="392" ht="12.0" customHeight="1">
      <c r="A392" s="74"/>
      <c r="B392" s="74"/>
    </row>
    <row r="393" ht="12.0" customHeight="1">
      <c r="A393" s="74"/>
      <c r="B393" s="74"/>
    </row>
    <row r="394" ht="12.0" customHeight="1">
      <c r="A394" s="74"/>
      <c r="B394" s="74"/>
    </row>
    <row r="395" ht="12.0" customHeight="1">
      <c r="A395" s="74"/>
      <c r="B395" s="74"/>
    </row>
    <row r="396" ht="12.0" customHeight="1">
      <c r="A396" s="74"/>
      <c r="B396" s="74"/>
    </row>
    <row r="397" ht="12.0" customHeight="1">
      <c r="A397" s="74"/>
      <c r="B397" s="74"/>
    </row>
    <row r="398" ht="12.0" customHeight="1">
      <c r="A398" s="74"/>
      <c r="B398" s="74"/>
    </row>
    <row r="399" ht="12.0" customHeight="1">
      <c r="A399" s="74"/>
      <c r="B399" s="74"/>
    </row>
    <row r="400" ht="12.0" customHeight="1">
      <c r="A400" s="74"/>
      <c r="B400" s="74"/>
    </row>
    <row r="401" ht="12.0" customHeight="1">
      <c r="A401" s="74"/>
      <c r="B401" s="74"/>
    </row>
    <row r="402" ht="12.0" customHeight="1">
      <c r="A402" s="74"/>
      <c r="B402" s="74"/>
    </row>
    <row r="403" ht="12.0" customHeight="1">
      <c r="A403" s="74"/>
      <c r="B403" s="74"/>
    </row>
    <row r="404" ht="12.0" customHeight="1">
      <c r="A404" s="74"/>
      <c r="B404" s="74"/>
    </row>
    <row r="405" ht="12.0" customHeight="1">
      <c r="A405" s="74"/>
      <c r="B405" s="74"/>
    </row>
    <row r="406" ht="12.0" customHeight="1">
      <c r="A406" s="74"/>
      <c r="B406" s="74"/>
    </row>
    <row r="407" ht="12.0" customHeight="1">
      <c r="A407" s="74"/>
      <c r="B407" s="74"/>
    </row>
    <row r="408" ht="12.0" customHeight="1">
      <c r="A408" s="74"/>
      <c r="B408" s="74"/>
    </row>
    <row r="409" ht="12.0" customHeight="1">
      <c r="A409" s="74"/>
      <c r="B409" s="74"/>
    </row>
    <row r="410" ht="12.0" customHeight="1">
      <c r="A410" s="74"/>
      <c r="B410" s="74"/>
    </row>
    <row r="411" ht="12.0" customHeight="1">
      <c r="A411" s="74"/>
      <c r="B411" s="74"/>
    </row>
    <row r="412" ht="12.0" customHeight="1">
      <c r="A412" s="74"/>
      <c r="B412" s="74"/>
    </row>
    <row r="413" ht="12.0" customHeight="1">
      <c r="A413" s="74"/>
      <c r="B413" s="74"/>
    </row>
    <row r="414" ht="12.0" customHeight="1">
      <c r="A414" s="74"/>
      <c r="B414" s="74"/>
    </row>
    <row r="415" ht="12.0" customHeight="1">
      <c r="A415" s="74"/>
      <c r="B415" s="74"/>
    </row>
    <row r="416" ht="12.0" customHeight="1">
      <c r="A416" s="74"/>
      <c r="B416" s="74"/>
    </row>
    <row r="417" ht="12.0" customHeight="1">
      <c r="A417" s="74"/>
      <c r="B417" s="74"/>
    </row>
    <row r="418" ht="12.0" customHeight="1">
      <c r="A418" s="74"/>
      <c r="B418" s="74"/>
    </row>
    <row r="419" ht="12.0" customHeight="1">
      <c r="A419" s="74"/>
      <c r="B419" s="74"/>
    </row>
    <row r="420" ht="12.0" customHeight="1">
      <c r="A420" s="74"/>
      <c r="B420" s="74"/>
    </row>
    <row r="421" ht="12.0" customHeight="1">
      <c r="A421" s="74"/>
      <c r="B421" s="74"/>
    </row>
    <row r="422" ht="12.0" customHeight="1">
      <c r="A422" s="74"/>
      <c r="B422" s="74"/>
    </row>
    <row r="423" ht="12.0" customHeight="1">
      <c r="A423" s="74"/>
      <c r="B423" s="74"/>
    </row>
    <row r="424" ht="12.0" customHeight="1">
      <c r="A424" s="74"/>
      <c r="B424" s="74"/>
    </row>
    <row r="425" ht="12.0" customHeight="1">
      <c r="A425" s="74"/>
      <c r="B425" s="74"/>
    </row>
    <row r="426" ht="12.0" customHeight="1">
      <c r="A426" s="74"/>
      <c r="B426" s="74"/>
    </row>
    <row r="427" ht="12.0" customHeight="1">
      <c r="A427" s="74"/>
      <c r="B427" s="74"/>
    </row>
    <row r="428" ht="12.0" customHeight="1">
      <c r="A428" s="74"/>
      <c r="B428" s="74"/>
    </row>
    <row r="429" ht="12.0" customHeight="1">
      <c r="A429" s="74"/>
      <c r="B429" s="74"/>
    </row>
    <row r="430" ht="12.0" customHeight="1">
      <c r="A430" s="74"/>
      <c r="B430" s="74"/>
    </row>
    <row r="431" ht="12.0" customHeight="1">
      <c r="A431" s="74"/>
      <c r="B431" s="74"/>
    </row>
    <row r="432" ht="12.0" customHeight="1">
      <c r="A432" s="74"/>
      <c r="B432" s="74"/>
    </row>
    <row r="433" ht="12.0" customHeight="1">
      <c r="A433" s="74"/>
      <c r="B433" s="74"/>
    </row>
    <row r="434" ht="12.0" customHeight="1">
      <c r="A434" s="74"/>
      <c r="B434" s="74"/>
    </row>
    <row r="435" ht="12.0" customHeight="1">
      <c r="A435" s="74"/>
      <c r="B435" s="74"/>
    </row>
    <row r="436" ht="12.0" customHeight="1">
      <c r="A436" s="74"/>
      <c r="B436" s="74"/>
    </row>
    <row r="437" ht="12.0" customHeight="1">
      <c r="A437" s="74"/>
      <c r="B437" s="74"/>
    </row>
    <row r="438" ht="12.0" customHeight="1">
      <c r="A438" s="74"/>
      <c r="B438" s="74"/>
    </row>
    <row r="439" ht="12.0" customHeight="1">
      <c r="A439" s="74"/>
      <c r="B439" s="74"/>
    </row>
    <row r="440" ht="12.0" customHeight="1">
      <c r="A440" s="74"/>
      <c r="B440" s="74"/>
    </row>
    <row r="441" ht="12.0" customHeight="1">
      <c r="A441" s="74"/>
      <c r="B441" s="74"/>
    </row>
    <row r="442" ht="12.0" customHeight="1">
      <c r="A442" s="74"/>
      <c r="B442" s="74"/>
    </row>
    <row r="443" ht="12.0" customHeight="1">
      <c r="A443" s="74"/>
      <c r="B443" s="74"/>
    </row>
    <row r="444" ht="12.0" customHeight="1">
      <c r="A444" s="74"/>
      <c r="B444" s="74"/>
    </row>
    <row r="445" ht="12.0" customHeight="1">
      <c r="A445" s="74"/>
      <c r="B445" s="74"/>
    </row>
    <row r="446" ht="12.0" customHeight="1">
      <c r="A446" s="74"/>
      <c r="B446" s="74"/>
    </row>
    <row r="447" ht="12.0" customHeight="1">
      <c r="A447" s="74"/>
      <c r="B447" s="74"/>
    </row>
    <row r="448" ht="12.0" customHeight="1">
      <c r="A448" s="74"/>
      <c r="B448" s="74"/>
    </row>
    <row r="449" ht="12.0" customHeight="1">
      <c r="A449" s="74"/>
      <c r="B449" s="74"/>
    </row>
    <row r="450" ht="12.0" customHeight="1">
      <c r="A450" s="74"/>
      <c r="B450" s="74"/>
    </row>
    <row r="451" ht="12.0" customHeight="1">
      <c r="A451" s="74"/>
      <c r="B451" s="74"/>
    </row>
    <row r="452" ht="12.0" customHeight="1">
      <c r="A452" s="74"/>
      <c r="B452" s="74"/>
    </row>
    <row r="453" ht="12.0" customHeight="1">
      <c r="A453" s="74"/>
      <c r="B453" s="74"/>
    </row>
    <row r="454" ht="12.0" customHeight="1">
      <c r="A454" s="74"/>
      <c r="B454" s="74"/>
    </row>
    <row r="455" ht="12.0" customHeight="1">
      <c r="A455" s="74"/>
      <c r="B455" s="74"/>
    </row>
    <row r="456" ht="12.0" customHeight="1">
      <c r="A456" s="74"/>
      <c r="B456" s="74"/>
    </row>
    <row r="457" ht="12.0" customHeight="1">
      <c r="A457" s="74"/>
      <c r="B457" s="74"/>
    </row>
    <row r="458" ht="12.0" customHeight="1">
      <c r="A458" s="74"/>
      <c r="B458" s="74"/>
    </row>
    <row r="459" ht="12.0" customHeight="1">
      <c r="A459" s="74"/>
      <c r="B459" s="74"/>
    </row>
    <row r="460" ht="12.0" customHeight="1">
      <c r="A460" s="74"/>
      <c r="B460" s="74"/>
    </row>
    <row r="461" ht="12.0" customHeight="1">
      <c r="A461" s="74"/>
      <c r="B461" s="74"/>
    </row>
    <row r="462" ht="12.0" customHeight="1">
      <c r="A462" s="74"/>
      <c r="B462" s="74"/>
    </row>
    <row r="463" ht="12.0" customHeight="1">
      <c r="A463" s="74"/>
      <c r="B463" s="74"/>
    </row>
    <row r="464" ht="12.0" customHeight="1">
      <c r="A464" s="74"/>
      <c r="B464" s="74"/>
    </row>
    <row r="465" ht="12.0" customHeight="1">
      <c r="A465" s="74"/>
      <c r="B465" s="74"/>
    </row>
    <row r="466" ht="12.0" customHeight="1">
      <c r="A466" s="74"/>
      <c r="B466" s="74"/>
    </row>
    <row r="467" ht="12.0" customHeight="1">
      <c r="A467" s="74"/>
      <c r="B467" s="74"/>
    </row>
    <row r="468" ht="12.0" customHeight="1">
      <c r="A468" s="74"/>
      <c r="B468" s="74"/>
    </row>
    <row r="469" ht="12.0" customHeight="1">
      <c r="A469" s="74"/>
      <c r="B469" s="74"/>
    </row>
    <row r="470" ht="12.0" customHeight="1">
      <c r="A470" s="74"/>
      <c r="B470" s="74"/>
    </row>
    <row r="471" ht="12.0" customHeight="1">
      <c r="A471" s="74"/>
      <c r="B471" s="74"/>
    </row>
    <row r="472" ht="12.0" customHeight="1">
      <c r="A472" s="74"/>
      <c r="B472" s="74"/>
    </row>
    <row r="473" ht="12.0" customHeight="1">
      <c r="A473" s="74"/>
      <c r="B473" s="74"/>
    </row>
    <row r="474" ht="12.0" customHeight="1">
      <c r="A474" s="74"/>
      <c r="B474" s="74"/>
    </row>
    <row r="475" ht="12.0" customHeight="1">
      <c r="A475" s="74"/>
      <c r="B475" s="74"/>
    </row>
    <row r="476" ht="12.0" customHeight="1">
      <c r="A476" s="74"/>
      <c r="B476" s="74"/>
    </row>
    <row r="477" ht="12.0" customHeight="1">
      <c r="A477" s="74"/>
      <c r="B477" s="74"/>
    </row>
    <row r="478" ht="12.0" customHeight="1">
      <c r="A478" s="74"/>
      <c r="B478" s="74"/>
    </row>
    <row r="479" ht="12.0" customHeight="1">
      <c r="A479" s="74"/>
      <c r="B479" s="74"/>
    </row>
    <row r="480" ht="12.0" customHeight="1">
      <c r="A480" s="74"/>
      <c r="B480" s="74"/>
    </row>
    <row r="481" ht="12.0" customHeight="1">
      <c r="A481" s="74"/>
      <c r="B481" s="74"/>
    </row>
    <row r="482" ht="12.0" customHeight="1">
      <c r="A482" s="74"/>
      <c r="B482" s="74"/>
    </row>
    <row r="483" ht="12.0" customHeight="1">
      <c r="A483" s="74"/>
      <c r="B483" s="74"/>
    </row>
    <row r="484" ht="12.0" customHeight="1">
      <c r="A484" s="74"/>
      <c r="B484" s="74"/>
    </row>
    <row r="485" ht="12.0" customHeight="1">
      <c r="A485" s="74"/>
      <c r="B485" s="74"/>
    </row>
    <row r="486" ht="12.0" customHeight="1">
      <c r="A486" s="74"/>
      <c r="B486" s="74"/>
    </row>
    <row r="487" ht="12.0" customHeight="1">
      <c r="A487" s="74"/>
      <c r="B487" s="74"/>
    </row>
    <row r="488" ht="12.0" customHeight="1">
      <c r="A488" s="74"/>
      <c r="B488" s="74"/>
    </row>
    <row r="489" ht="12.0" customHeight="1">
      <c r="A489" s="74"/>
      <c r="B489" s="74"/>
    </row>
    <row r="490" ht="12.0" customHeight="1">
      <c r="A490" s="74"/>
      <c r="B490" s="74"/>
    </row>
    <row r="491" ht="12.0" customHeight="1">
      <c r="A491" s="74"/>
      <c r="B491" s="74"/>
    </row>
    <row r="492" ht="12.0" customHeight="1">
      <c r="A492" s="74"/>
      <c r="B492" s="74"/>
    </row>
    <row r="493" ht="12.0" customHeight="1">
      <c r="A493" s="74"/>
      <c r="B493" s="74"/>
    </row>
    <row r="494" ht="12.0" customHeight="1">
      <c r="A494" s="74"/>
      <c r="B494" s="74"/>
    </row>
    <row r="495" ht="12.0" customHeight="1">
      <c r="A495" s="74"/>
      <c r="B495" s="74"/>
    </row>
    <row r="496" ht="12.0" customHeight="1">
      <c r="A496" s="74"/>
      <c r="B496" s="74"/>
    </row>
    <row r="497" ht="12.0" customHeight="1">
      <c r="A497" s="74"/>
      <c r="B497" s="74"/>
    </row>
    <row r="498" ht="12.0" customHeight="1">
      <c r="A498" s="74"/>
      <c r="B498" s="74"/>
    </row>
    <row r="499" ht="12.0" customHeight="1">
      <c r="A499" s="74"/>
      <c r="B499" s="74"/>
    </row>
    <row r="500" ht="12.0" customHeight="1">
      <c r="A500" s="74"/>
      <c r="B500" s="74"/>
    </row>
    <row r="501" ht="12.0" customHeight="1">
      <c r="A501" s="74"/>
      <c r="B501" s="74"/>
    </row>
    <row r="502" ht="12.0" customHeight="1">
      <c r="A502" s="74"/>
      <c r="B502" s="74"/>
    </row>
    <row r="503" ht="12.0" customHeight="1">
      <c r="A503" s="74"/>
      <c r="B503" s="74"/>
    </row>
    <row r="504" ht="12.0" customHeight="1">
      <c r="A504" s="74"/>
      <c r="B504" s="74"/>
    </row>
    <row r="505" ht="12.0" customHeight="1">
      <c r="A505" s="74"/>
      <c r="B505" s="74"/>
    </row>
    <row r="506" ht="12.0" customHeight="1">
      <c r="A506" s="74"/>
      <c r="B506" s="74"/>
    </row>
    <row r="507" ht="12.0" customHeight="1">
      <c r="A507" s="74"/>
      <c r="B507" s="74"/>
    </row>
    <row r="508" ht="12.0" customHeight="1">
      <c r="A508" s="74"/>
      <c r="B508" s="74"/>
    </row>
    <row r="509" ht="12.0" customHeight="1">
      <c r="A509" s="74"/>
      <c r="B509" s="74"/>
    </row>
    <row r="510" ht="12.0" customHeight="1">
      <c r="A510" s="74"/>
      <c r="B510" s="74"/>
    </row>
    <row r="511" ht="12.0" customHeight="1">
      <c r="A511" s="74"/>
      <c r="B511" s="74"/>
    </row>
    <row r="512" ht="12.0" customHeight="1">
      <c r="A512" s="74"/>
      <c r="B512" s="74"/>
    </row>
    <row r="513" ht="12.0" customHeight="1">
      <c r="A513" s="74"/>
      <c r="B513" s="74"/>
    </row>
    <row r="514" ht="12.0" customHeight="1">
      <c r="A514" s="74"/>
      <c r="B514" s="74"/>
    </row>
    <row r="515" ht="12.0" customHeight="1">
      <c r="A515" s="74"/>
      <c r="B515" s="74"/>
    </row>
    <row r="516" ht="12.0" customHeight="1">
      <c r="A516" s="74"/>
      <c r="B516" s="74"/>
    </row>
    <row r="517" ht="12.0" customHeight="1">
      <c r="A517" s="74"/>
      <c r="B517" s="74"/>
    </row>
    <row r="518" ht="12.0" customHeight="1">
      <c r="A518" s="74"/>
      <c r="B518" s="74"/>
    </row>
    <row r="519" ht="12.0" customHeight="1">
      <c r="A519" s="74"/>
      <c r="B519" s="74"/>
    </row>
    <row r="520" ht="12.0" customHeight="1">
      <c r="A520" s="74"/>
      <c r="B520" s="74"/>
    </row>
    <row r="521" ht="12.0" customHeight="1">
      <c r="A521" s="74"/>
      <c r="B521" s="74"/>
    </row>
    <row r="522" ht="12.0" customHeight="1">
      <c r="A522" s="74"/>
      <c r="B522" s="74"/>
    </row>
    <row r="523" ht="12.0" customHeight="1">
      <c r="A523" s="74"/>
      <c r="B523" s="74"/>
    </row>
    <row r="524" ht="12.0" customHeight="1">
      <c r="A524" s="74"/>
      <c r="B524" s="74"/>
    </row>
    <row r="525" ht="12.0" customHeight="1">
      <c r="A525" s="74"/>
      <c r="B525" s="74"/>
    </row>
    <row r="526" ht="12.0" customHeight="1">
      <c r="A526" s="74"/>
      <c r="B526" s="74"/>
    </row>
    <row r="527" ht="12.0" customHeight="1">
      <c r="A527" s="74"/>
      <c r="B527" s="74"/>
    </row>
    <row r="528" ht="12.0" customHeight="1">
      <c r="A528" s="74"/>
      <c r="B528" s="74"/>
    </row>
    <row r="529" ht="12.0" customHeight="1">
      <c r="A529" s="74"/>
      <c r="B529" s="74"/>
    </row>
    <row r="530" ht="12.0" customHeight="1">
      <c r="A530" s="74"/>
      <c r="B530" s="74"/>
    </row>
    <row r="531" ht="12.0" customHeight="1">
      <c r="A531" s="74"/>
      <c r="B531" s="74"/>
    </row>
    <row r="532" ht="12.0" customHeight="1">
      <c r="A532" s="74"/>
      <c r="B532" s="74"/>
    </row>
    <row r="533" ht="12.0" customHeight="1">
      <c r="A533" s="74"/>
      <c r="B533" s="74"/>
    </row>
    <row r="534" ht="12.0" customHeight="1">
      <c r="A534" s="74"/>
      <c r="B534" s="74"/>
    </row>
    <row r="535" ht="12.0" customHeight="1">
      <c r="A535" s="74"/>
      <c r="B535" s="74"/>
    </row>
    <row r="536" ht="12.0" customHeight="1">
      <c r="A536" s="74"/>
      <c r="B536" s="74"/>
    </row>
    <row r="537" ht="12.0" customHeight="1">
      <c r="A537" s="74"/>
      <c r="B537" s="74"/>
    </row>
    <row r="538" ht="12.0" customHeight="1">
      <c r="A538" s="74"/>
      <c r="B538" s="74"/>
    </row>
    <row r="539" ht="12.0" customHeight="1">
      <c r="A539" s="74"/>
      <c r="B539" s="74"/>
    </row>
    <row r="540" ht="12.0" customHeight="1">
      <c r="A540" s="74"/>
      <c r="B540" s="74"/>
    </row>
    <row r="541" ht="12.0" customHeight="1">
      <c r="A541" s="74"/>
      <c r="B541" s="74"/>
    </row>
    <row r="542" ht="12.0" customHeight="1">
      <c r="A542" s="74"/>
      <c r="B542" s="74"/>
    </row>
    <row r="543" ht="12.0" customHeight="1">
      <c r="A543" s="74"/>
      <c r="B543" s="74"/>
    </row>
    <row r="544" ht="12.0" customHeight="1">
      <c r="A544" s="74"/>
      <c r="B544" s="74"/>
    </row>
    <row r="545" ht="12.0" customHeight="1">
      <c r="A545" s="74"/>
      <c r="B545" s="74"/>
    </row>
    <row r="546" ht="12.0" customHeight="1">
      <c r="A546" s="74"/>
      <c r="B546" s="74"/>
    </row>
    <row r="547" ht="12.0" customHeight="1">
      <c r="A547" s="74"/>
      <c r="B547" s="74"/>
    </row>
    <row r="548" ht="12.0" customHeight="1">
      <c r="A548" s="74"/>
      <c r="B548" s="74"/>
    </row>
    <row r="549" ht="12.0" customHeight="1">
      <c r="A549" s="74"/>
      <c r="B549" s="74"/>
    </row>
    <row r="550" ht="12.0" customHeight="1">
      <c r="A550" s="74"/>
      <c r="B550" s="74"/>
    </row>
    <row r="551" ht="12.0" customHeight="1">
      <c r="A551" s="74"/>
      <c r="B551" s="74"/>
    </row>
    <row r="552" ht="12.0" customHeight="1">
      <c r="A552" s="74"/>
      <c r="B552" s="74"/>
    </row>
    <row r="553" ht="12.0" customHeight="1">
      <c r="A553" s="74"/>
      <c r="B553" s="74"/>
    </row>
    <row r="554" ht="12.0" customHeight="1">
      <c r="A554" s="74"/>
      <c r="B554" s="74"/>
    </row>
    <row r="555" ht="12.0" customHeight="1">
      <c r="A555" s="74"/>
      <c r="B555" s="74"/>
    </row>
    <row r="556" ht="12.0" customHeight="1">
      <c r="A556" s="74"/>
      <c r="B556" s="74"/>
    </row>
    <row r="557" ht="12.0" customHeight="1">
      <c r="A557" s="74"/>
      <c r="B557" s="74"/>
    </row>
    <row r="558" ht="12.0" customHeight="1">
      <c r="A558" s="74"/>
      <c r="B558" s="74"/>
    </row>
    <row r="559" ht="12.0" customHeight="1">
      <c r="A559" s="74"/>
      <c r="B559" s="74"/>
    </row>
    <row r="560" ht="12.0" customHeight="1">
      <c r="A560" s="74"/>
      <c r="B560" s="74"/>
    </row>
    <row r="561" ht="12.0" customHeight="1">
      <c r="A561" s="74"/>
      <c r="B561" s="74"/>
    </row>
    <row r="562" ht="12.0" customHeight="1">
      <c r="A562" s="74"/>
      <c r="B562" s="74"/>
    </row>
    <row r="563" ht="12.0" customHeight="1">
      <c r="A563" s="74"/>
      <c r="B563" s="74"/>
    </row>
    <row r="564" ht="12.0" customHeight="1">
      <c r="A564" s="74"/>
      <c r="B564" s="74"/>
    </row>
    <row r="565" ht="12.0" customHeight="1">
      <c r="A565" s="74"/>
      <c r="B565" s="74"/>
    </row>
    <row r="566" ht="12.0" customHeight="1">
      <c r="A566" s="74"/>
      <c r="B566" s="74"/>
    </row>
    <row r="567" ht="12.0" customHeight="1">
      <c r="A567" s="74"/>
      <c r="B567" s="74"/>
    </row>
    <row r="568" ht="12.0" customHeight="1">
      <c r="A568" s="74"/>
      <c r="B568" s="74"/>
    </row>
    <row r="569" ht="12.0" customHeight="1">
      <c r="A569" s="74"/>
      <c r="B569" s="74"/>
    </row>
    <row r="570" ht="12.0" customHeight="1">
      <c r="A570" s="74"/>
      <c r="B570" s="74"/>
    </row>
    <row r="571" ht="12.0" customHeight="1">
      <c r="A571" s="74"/>
      <c r="B571" s="74"/>
    </row>
    <row r="572" ht="12.0" customHeight="1">
      <c r="A572" s="74"/>
      <c r="B572" s="74"/>
    </row>
    <row r="573" ht="12.0" customHeight="1">
      <c r="A573" s="74"/>
      <c r="B573" s="74"/>
    </row>
    <row r="574" ht="12.0" customHeight="1">
      <c r="A574" s="74"/>
      <c r="B574" s="74"/>
    </row>
    <row r="575" ht="12.0" customHeight="1">
      <c r="A575" s="74"/>
      <c r="B575" s="74"/>
    </row>
    <row r="576" ht="12.0" customHeight="1">
      <c r="A576" s="74"/>
      <c r="B576" s="74"/>
    </row>
    <row r="577" ht="12.0" customHeight="1">
      <c r="A577" s="74"/>
      <c r="B577" s="74"/>
    </row>
    <row r="578" ht="12.0" customHeight="1">
      <c r="A578" s="74"/>
      <c r="B578" s="74"/>
    </row>
    <row r="579" ht="12.0" customHeight="1">
      <c r="A579" s="74"/>
      <c r="B579" s="74"/>
    </row>
    <row r="580" ht="12.0" customHeight="1">
      <c r="A580" s="74"/>
      <c r="B580" s="74"/>
    </row>
    <row r="581" ht="12.0" customHeight="1">
      <c r="A581" s="74"/>
      <c r="B581" s="74"/>
    </row>
    <row r="582" ht="12.0" customHeight="1">
      <c r="A582" s="74"/>
      <c r="B582" s="74"/>
    </row>
    <row r="583" ht="12.0" customHeight="1">
      <c r="A583" s="74"/>
      <c r="B583" s="74"/>
    </row>
    <row r="584" ht="12.0" customHeight="1">
      <c r="A584" s="74"/>
      <c r="B584" s="74"/>
    </row>
    <row r="585" ht="12.0" customHeight="1">
      <c r="A585" s="74"/>
      <c r="B585" s="74"/>
    </row>
    <row r="586" ht="12.0" customHeight="1">
      <c r="A586" s="74"/>
      <c r="B586" s="74"/>
    </row>
    <row r="587" ht="12.0" customHeight="1">
      <c r="A587" s="74"/>
      <c r="B587" s="74"/>
    </row>
    <row r="588" ht="12.0" customHeight="1">
      <c r="A588" s="74"/>
      <c r="B588" s="74"/>
    </row>
    <row r="589" ht="12.0" customHeight="1">
      <c r="A589" s="74"/>
      <c r="B589" s="74"/>
    </row>
    <row r="590" ht="12.0" customHeight="1">
      <c r="A590" s="74"/>
      <c r="B590" s="74"/>
    </row>
    <row r="591" ht="12.0" customHeight="1">
      <c r="A591" s="74"/>
      <c r="B591" s="74"/>
    </row>
    <row r="592" ht="12.0" customHeight="1">
      <c r="A592" s="74"/>
      <c r="B592" s="74"/>
    </row>
    <row r="593" ht="12.0" customHeight="1">
      <c r="A593" s="74"/>
      <c r="B593" s="74"/>
    </row>
    <row r="594" ht="12.0" customHeight="1">
      <c r="A594" s="74"/>
      <c r="B594" s="74"/>
    </row>
    <row r="595" ht="12.0" customHeight="1">
      <c r="A595" s="74"/>
      <c r="B595" s="74"/>
    </row>
    <row r="596" ht="12.0" customHeight="1">
      <c r="A596" s="74"/>
      <c r="B596" s="74"/>
    </row>
    <row r="597" ht="12.0" customHeight="1">
      <c r="A597" s="74"/>
      <c r="B597" s="74"/>
    </row>
    <row r="598" ht="12.0" customHeight="1">
      <c r="A598" s="74"/>
      <c r="B598" s="74"/>
    </row>
    <row r="599" ht="12.0" customHeight="1">
      <c r="A599" s="74"/>
      <c r="B599" s="74"/>
    </row>
    <row r="600" ht="12.0" customHeight="1">
      <c r="A600" s="74"/>
      <c r="B600" s="74"/>
    </row>
    <row r="601" ht="12.0" customHeight="1">
      <c r="A601" s="74"/>
      <c r="B601" s="74"/>
    </row>
    <row r="602" ht="12.0" customHeight="1">
      <c r="A602" s="74"/>
      <c r="B602" s="74"/>
    </row>
    <row r="603" ht="12.0" customHeight="1">
      <c r="A603" s="74"/>
      <c r="B603" s="74"/>
    </row>
    <row r="604" ht="12.0" customHeight="1">
      <c r="A604" s="74"/>
      <c r="B604" s="74"/>
    </row>
    <row r="605" ht="12.0" customHeight="1">
      <c r="A605" s="74"/>
      <c r="B605" s="74"/>
    </row>
    <row r="606" ht="12.0" customHeight="1">
      <c r="A606" s="74"/>
      <c r="B606" s="74"/>
    </row>
    <row r="607" ht="12.0" customHeight="1">
      <c r="A607" s="74"/>
      <c r="B607" s="74"/>
    </row>
    <row r="608" ht="12.0" customHeight="1">
      <c r="A608" s="74"/>
      <c r="B608" s="74"/>
    </row>
    <row r="609" ht="12.0" customHeight="1">
      <c r="A609" s="74"/>
      <c r="B609" s="74"/>
    </row>
    <row r="610" ht="12.0" customHeight="1">
      <c r="A610" s="74"/>
      <c r="B610" s="74"/>
    </row>
    <row r="611" ht="12.0" customHeight="1">
      <c r="A611" s="74"/>
      <c r="B611" s="74"/>
    </row>
    <row r="612" ht="12.0" customHeight="1">
      <c r="A612" s="74"/>
      <c r="B612" s="74"/>
    </row>
    <row r="613" ht="12.0" customHeight="1">
      <c r="A613" s="74"/>
      <c r="B613" s="74"/>
    </row>
    <row r="614" ht="12.0" customHeight="1">
      <c r="A614" s="74"/>
      <c r="B614" s="74"/>
    </row>
    <row r="615" ht="12.0" customHeight="1">
      <c r="A615" s="74"/>
      <c r="B615" s="74"/>
    </row>
    <row r="616" ht="12.0" customHeight="1">
      <c r="A616" s="74"/>
      <c r="B616" s="74"/>
    </row>
    <row r="617" ht="12.0" customHeight="1">
      <c r="A617" s="74"/>
      <c r="B617" s="74"/>
    </row>
    <row r="618" ht="12.0" customHeight="1">
      <c r="A618" s="74"/>
      <c r="B618" s="74"/>
    </row>
    <row r="619" ht="12.0" customHeight="1">
      <c r="A619" s="74"/>
      <c r="B619" s="74"/>
    </row>
    <row r="620" ht="12.0" customHeight="1">
      <c r="A620" s="74"/>
      <c r="B620" s="74"/>
    </row>
    <row r="621" ht="12.0" customHeight="1">
      <c r="A621" s="74"/>
      <c r="B621" s="74"/>
    </row>
    <row r="622" ht="12.0" customHeight="1">
      <c r="A622" s="74"/>
      <c r="B622" s="74"/>
    </row>
    <row r="623" ht="12.0" customHeight="1">
      <c r="A623" s="74"/>
      <c r="B623" s="74"/>
    </row>
    <row r="624" ht="12.0" customHeight="1">
      <c r="A624" s="74"/>
      <c r="B624" s="74"/>
    </row>
    <row r="625" ht="12.0" customHeight="1">
      <c r="A625" s="74"/>
      <c r="B625" s="74"/>
    </row>
    <row r="626" ht="12.0" customHeight="1">
      <c r="A626" s="74"/>
      <c r="B626" s="74"/>
    </row>
    <row r="627" ht="12.0" customHeight="1">
      <c r="A627" s="74"/>
      <c r="B627" s="74"/>
    </row>
    <row r="628" ht="12.0" customHeight="1">
      <c r="A628" s="74"/>
      <c r="B628" s="74"/>
    </row>
    <row r="629" ht="12.0" customHeight="1">
      <c r="A629" s="74"/>
      <c r="B629" s="74"/>
    </row>
    <row r="630" ht="12.0" customHeight="1">
      <c r="A630" s="74"/>
      <c r="B630" s="74"/>
    </row>
    <row r="631" ht="12.0" customHeight="1">
      <c r="A631" s="74"/>
      <c r="B631" s="74"/>
    </row>
    <row r="632" ht="12.0" customHeight="1">
      <c r="A632" s="74"/>
      <c r="B632" s="74"/>
    </row>
    <row r="633" ht="12.0" customHeight="1">
      <c r="A633" s="74"/>
      <c r="B633" s="74"/>
    </row>
    <row r="634" ht="12.0" customHeight="1">
      <c r="A634" s="74"/>
      <c r="B634" s="74"/>
    </row>
    <row r="635" ht="12.0" customHeight="1">
      <c r="A635" s="74"/>
      <c r="B635" s="74"/>
    </row>
    <row r="636" ht="12.0" customHeight="1">
      <c r="A636" s="74"/>
      <c r="B636" s="74"/>
    </row>
    <row r="637" ht="12.0" customHeight="1">
      <c r="A637" s="74"/>
      <c r="B637" s="74"/>
    </row>
    <row r="638" ht="12.0" customHeight="1">
      <c r="A638" s="74"/>
      <c r="B638" s="74"/>
    </row>
    <row r="639" ht="12.0" customHeight="1">
      <c r="A639" s="74"/>
      <c r="B639" s="74"/>
    </row>
    <row r="640" ht="12.0" customHeight="1">
      <c r="A640" s="74"/>
      <c r="B640" s="74"/>
    </row>
    <row r="641" ht="12.0" customHeight="1">
      <c r="A641" s="74"/>
      <c r="B641" s="74"/>
    </row>
    <row r="642" ht="12.0" customHeight="1">
      <c r="A642" s="74"/>
      <c r="B642" s="74"/>
    </row>
    <row r="643" ht="12.0" customHeight="1">
      <c r="A643" s="74"/>
      <c r="B643" s="74"/>
    </row>
    <row r="644" ht="12.0" customHeight="1">
      <c r="A644" s="74"/>
      <c r="B644" s="74"/>
    </row>
    <row r="645" ht="12.0" customHeight="1">
      <c r="A645" s="74"/>
      <c r="B645" s="74"/>
    </row>
    <row r="646" ht="12.0" customHeight="1">
      <c r="A646" s="74"/>
      <c r="B646" s="74"/>
    </row>
    <row r="647" ht="12.0" customHeight="1">
      <c r="A647" s="74"/>
      <c r="B647" s="74"/>
    </row>
    <row r="648" ht="12.0" customHeight="1">
      <c r="A648" s="74"/>
      <c r="B648" s="74"/>
    </row>
    <row r="649" ht="12.0" customHeight="1">
      <c r="A649" s="74"/>
      <c r="B649" s="74"/>
    </row>
    <row r="650" ht="12.0" customHeight="1">
      <c r="A650" s="74"/>
      <c r="B650" s="74"/>
    </row>
    <row r="651" ht="12.0" customHeight="1">
      <c r="A651" s="74"/>
      <c r="B651" s="74"/>
    </row>
    <row r="652" ht="12.0" customHeight="1">
      <c r="A652" s="74"/>
      <c r="B652" s="74"/>
    </row>
    <row r="653" ht="12.0" customHeight="1">
      <c r="A653" s="74"/>
      <c r="B653" s="74"/>
    </row>
    <row r="654" ht="12.0" customHeight="1">
      <c r="A654" s="74"/>
      <c r="B654" s="74"/>
    </row>
    <row r="655" ht="12.0" customHeight="1">
      <c r="A655" s="74"/>
      <c r="B655" s="74"/>
    </row>
    <row r="656" ht="12.0" customHeight="1">
      <c r="A656" s="74"/>
      <c r="B656" s="74"/>
    </row>
    <row r="657" ht="12.0" customHeight="1">
      <c r="A657" s="74"/>
      <c r="B657" s="74"/>
    </row>
    <row r="658" ht="12.0" customHeight="1">
      <c r="A658" s="74"/>
      <c r="B658" s="74"/>
    </row>
    <row r="659" ht="12.0" customHeight="1">
      <c r="A659" s="74"/>
      <c r="B659" s="74"/>
    </row>
    <row r="660" ht="12.0" customHeight="1">
      <c r="A660" s="74"/>
      <c r="B660" s="74"/>
    </row>
    <row r="661" ht="12.0" customHeight="1">
      <c r="A661" s="74"/>
      <c r="B661" s="74"/>
    </row>
    <row r="662" ht="12.0" customHeight="1">
      <c r="A662" s="74"/>
      <c r="B662" s="74"/>
    </row>
    <row r="663" ht="12.0" customHeight="1">
      <c r="A663" s="74"/>
      <c r="B663" s="74"/>
    </row>
    <row r="664" ht="12.0" customHeight="1">
      <c r="A664" s="74"/>
      <c r="B664" s="74"/>
    </row>
    <row r="665" ht="12.0" customHeight="1">
      <c r="A665" s="74"/>
      <c r="B665" s="74"/>
    </row>
    <row r="666" ht="12.0" customHeight="1">
      <c r="A666" s="74"/>
      <c r="B666" s="74"/>
    </row>
    <row r="667" ht="12.0" customHeight="1">
      <c r="A667" s="74"/>
      <c r="B667" s="74"/>
    </row>
    <row r="668" ht="12.0" customHeight="1">
      <c r="A668" s="74"/>
      <c r="B668" s="74"/>
    </row>
    <row r="669" ht="12.0" customHeight="1">
      <c r="A669" s="74"/>
      <c r="B669" s="74"/>
    </row>
    <row r="670" ht="12.0" customHeight="1">
      <c r="A670" s="74"/>
      <c r="B670" s="74"/>
    </row>
    <row r="671" ht="12.0" customHeight="1">
      <c r="A671" s="74"/>
      <c r="B671" s="74"/>
    </row>
    <row r="672" ht="12.0" customHeight="1">
      <c r="A672" s="74"/>
      <c r="B672" s="74"/>
    </row>
    <row r="673" ht="12.0" customHeight="1">
      <c r="A673" s="74"/>
      <c r="B673" s="74"/>
    </row>
    <row r="674" ht="12.0" customHeight="1">
      <c r="A674" s="74"/>
      <c r="B674" s="74"/>
    </row>
    <row r="675" ht="12.0" customHeight="1">
      <c r="A675" s="74"/>
      <c r="B675" s="74"/>
    </row>
    <row r="676" ht="12.0" customHeight="1">
      <c r="A676" s="74"/>
      <c r="B676" s="74"/>
    </row>
    <row r="677" ht="12.0" customHeight="1">
      <c r="A677" s="74"/>
      <c r="B677" s="74"/>
    </row>
    <row r="678" ht="12.0" customHeight="1">
      <c r="A678" s="74"/>
      <c r="B678" s="74"/>
    </row>
    <row r="679" ht="12.0" customHeight="1">
      <c r="A679" s="74"/>
      <c r="B679" s="74"/>
    </row>
    <row r="680" ht="12.0" customHeight="1">
      <c r="A680" s="74"/>
      <c r="B680" s="74"/>
    </row>
    <row r="681" ht="12.0" customHeight="1">
      <c r="A681" s="74"/>
      <c r="B681" s="74"/>
    </row>
    <row r="682" ht="12.0" customHeight="1">
      <c r="A682" s="74"/>
      <c r="B682" s="74"/>
    </row>
    <row r="683" ht="12.0" customHeight="1">
      <c r="A683" s="74"/>
      <c r="B683" s="74"/>
    </row>
    <row r="684" ht="12.0" customHeight="1">
      <c r="A684" s="74"/>
      <c r="B684" s="74"/>
    </row>
    <row r="685" ht="12.0" customHeight="1">
      <c r="A685" s="74"/>
      <c r="B685" s="74"/>
    </row>
    <row r="686" ht="12.0" customHeight="1">
      <c r="A686" s="74"/>
      <c r="B686" s="74"/>
    </row>
    <row r="687" ht="12.0" customHeight="1">
      <c r="A687" s="74"/>
      <c r="B687" s="74"/>
    </row>
    <row r="688" ht="12.0" customHeight="1">
      <c r="A688" s="74"/>
      <c r="B688" s="74"/>
    </row>
    <row r="689" ht="12.0" customHeight="1">
      <c r="A689" s="74"/>
      <c r="B689" s="74"/>
    </row>
    <row r="690" ht="12.0" customHeight="1">
      <c r="A690" s="74"/>
      <c r="B690" s="74"/>
    </row>
    <row r="691" ht="12.0" customHeight="1">
      <c r="A691" s="74"/>
      <c r="B691" s="74"/>
    </row>
    <row r="692" ht="12.0" customHeight="1">
      <c r="A692" s="74"/>
      <c r="B692" s="74"/>
    </row>
    <row r="693" ht="12.0" customHeight="1">
      <c r="A693" s="74"/>
      <c r="B693" s="74"/>
    </row>
    <row r="694" ht="12.0" customHeight="1">
      <c r="A694" s="74"/>
      <c r="B694" s="74"/>
    </row>
    <row r="695" ht="12.0" customHeight="1">
      <c r="A695" s="74"/>
      <c r="B695" s="74"/>
    </row>
    <row r="696" ht="12.0" customHeight="1">
      <c r="A696" s="74"/>
      <c r="B696" s="74"/>
    </row>
    <row r="697" ht="12.0" customHeight="1">
      <c r="A697" s="74"/>
      <c r="B697" s="74"/>
    </row>
    <row r="698" ht="12.0" customHeight="1">
      <c r="A698" s="74"/>
      <c r="B698" s="74"/>
    </row>
    <row r="699" ht="12.0" customHeight="1">
      <c r="A699" s="74"/>
      <c r="B699" s="74"/>
    </row>
    <row r="700" ht="12.0" customHeight="1">
      <c r="A700" s="74"/>
      <c r="B700" s="74"/>
    </row>
    <row r="701" ht="12.0" customHeight="1">
      <c r="A701" s="74"/>
      <c r="B701" s="74"/>
    </row>
    <row r="702" ht="12.0" customHeight="1">
      <c r="A702" s="74"/>
      <c r="B702" s="74"/>
    </row>
    <row r="703" ht="12.0" customHeight="1">
      <c r="A703" s="74"/>
      <c r="B703" s="74"/>
    </row>
    <row r="704" ht="12.0" customHeight="1">
      <c r="A704" s="74"/>
      <c r="B704" s="74"/>
    </row>
    <row r="705" ht="12.0" customHeight="1">
      <c r="A705" s="74"/>
      <c r="B705" s="74"/>
    </row>
    <row r="706" ht="12.0" customHeight="1">
      <c r="A706" s="74"/>
      <c r="B706" s="74"/>
    </row>
    <row r="707" ht="12.0" customHeight="1">
      <c r="A707" s="74"/>
      <c r="B707" s="74"/>
    </row>
    <row r="708" ht="12.0" customHeight="1">
      <c r="A708" s="74"/>
      <c r="B708" s="74"/>
    </row>
    <row r="709" ht="12.0" customHeight="1">
      <c r="A709" s="74"/>
      <c r="B709" s="74"/>
    </row>
    <row r="710" ht="12.0" customHeight="1">
      <c r="A710" s="74"/>
      <c r="B710" s="74"/>
    </row>
    <row r="711" ht="12.0" customHeight="1">
      <c r="A711" s="74"/>
      <c r="B711" s="74"/>
    </row>
    <row r="712" ht="12.0" customHeight="1">
      <c r="A712" s="74"/>
      <c r="B712" s="74"/>
    </row>
    <row r="713" ht="12.0" customHeight="1">
      <c r="A713" s="74"/>
      <c r="B713" s="74"/>
    </row>
    <row r="714" ht="12.0" customHeight="1">
      <c r="A714" s="74"/>
      <c r="B714" s="74"/>
    </row>
    <row r="715" ht="12.0" customHeight="1">
      <c r="A715" s="74"/>
      <c r="B715" s="74"/>
    </row>
    <row r="716" ht="12.0" customHeight="1">
      <c r="A716" s="74"/>
      <c r="B716" s="74"/>
    </row>
    <row r="717" ht="12.0" customHeight="1">
      <c r="A717" s="74"/>
      <c r="B717" s="74"/>
    </row>
    <row r="718" ht="12.0" customHeight="1">
      <c r="A718" s="74"/>
      <c r="B718" s="74"/>
    </row>
    <row r="719" ht="12.0" customHeight="1">
      <c r="A719" s="74"/>
      <c r="B719" s="74"/>
    </row>
    <row r="720" ht="12.0" customHeight="1">
      <c r="A720" s="74"/>
      <c r="B720" s="74"/>
    </row>
    <row r="721" ht="12.0" customHeight="1">
      <c r="A721" s="74"/>
      <c r="B721" s="74"/>
    </row>
    <row r="722" ht="12.0" customHeight="1">
      <c r="A722" s="74"/>
      <c r="B722" s="74"/>
    </row>
    <row r="723" ht="12.0" customHeight="1">
      <c r="A723" s="74"/>
      <c r="B723" s="74"/>
    </row>
    <row r="724" ht="12.0" customHeight="1">
      <c r="A724" s="74"/>
      <c r="B724" s="74"/>
    </row>
    <row r="725" ht="12.0" customHeight="1">
      <c r="A725" s="74"/>
      <c r="B725" s="74"/>
    </row>
    <row r="726" ht="12.0" customHeight="1">
      <c r="A726" s="74"/>
      <c r="B726" s="74"/>
    </row>
    <row r="727" ht="12.0" customHeight="1">
      <c r="A727" s="74"/>
      <c r="B727" s="74"/>
    </row>
    <row r="728" ht="12.0" customHeight="1">
      <c r="A728" s="74"/>
      <c r="B728" s="74"/>
    </row>
    <row r="729" ht="12.0" customHeight="1">
      <c r="A729" s="74"/>
      <c r="B729" s="74"/>
    </row>
    <row r="730" ht="12.0" customHeight="1">
      <c r="A730" s="74"/>
      <c r="B730" s="74"/>
    </row>
    <row r="731" ht="12.0" customHeight="1">
      <c r="A731" s="74"/>
      <c r="B731" s="74"/>
    </row>
    <row r="732" ht="12.0" customHeight="1">
      <c r="A732" s="74"/>
      <c r="B732" s="74"/>
    </row>
    <row r="733" ht="12.0" customHeight="1">
      <c r="A733" s="74"/>
      <c r="B733" s="74"/>
    </row>
    <row r="734" ht="12.0" customHeight="1">
      <c r="A734" s="74"/>
      <c r="B734" s="74"/>
    </row>
    <row r="735" ht="12.0" customHeight="1">
      <c r="A735" s="74"/>
      <c r="B735" s="74"/>
    </row>
    <row r="736" ht="12.0" customHeight="1">
      <c r="A736" s="74"/>
      <c r="B736" s="74"/>
    </row>
    <row r="737" ht="12.0" customHeight="1">
      <c r="A737" s="74"/>
      <c r="B737" s="74"/>
    </row>
    <row r="738" ht="12.0" customHeight="1">
      <c r="A738" s="74"/>
      <c r="B738" s="74"/>
    </row>
    <row r="739" ht="12.0" customHeight="1">
      <c r="A739" s="74"/>
      <c r="B739" s="74"/>
    </row>
    <row r="740" ht="12.0" customHeight="1">
      <c r="A740" s="74"/>
      <c r="B740" s="74"/>
    </row>
    <row r="741" ht="12.0" customHeight="1">
      <c r="A741" s="74"/>
      <c r="B741" s="74"/>
    </row>
    <row r="742" ht="12.0" customHeight="1">
      <c r="A742" s="74"/>
      <c r="B742" s="74"/>
    </row>
    <row r="743" ht="12.0" customHeight="1">
      <c r="A743" s="74"/>
      <c r="B743" s="74"/>
    </row>
    <row r="744" ht="12.0" customHeight="1">
      <c r="A744" s="74"/>
      <c r="B744" s="74"/>
    </row>
    <row r="745" ht="12.0" customHeight="1">
      <c r="A745" s="74"/>
      <c r="B745" s="74"/>
    </row>
    <row r="746" ht="12.0" customHeight="1">
      <c r="A746" s="74"/>
      <c r="B746" s="74"/>
    </row>
    <row r="747" ht="12.0" customHeight="1">
      <c r="A747" s="74"/>
      <c r="B747" s="74"/>
    </row>
    <row r="748" ht="12.0" customHeight="1">
      <c r="A748" s="74"/>
      <c r="B748" s="74"/>
    </row>
    <row r="749" ht="12.0" customHeight="1">
      <c r="A749" s="74"/>
      <c r="B749" s="74"/>
    </row>
    <row r="750" ht="12.0" customHeight="1">
      <c r="A750" s="74"/>
      <c r="B750" s="74"/>
    </row>
    <row r="751" ht="12.0" customHeight="1">
      <c r="A751" s="74"/>
      <c r="B751" s="74"/>
    </row>
    <row r="752" ht="12.0" customHeight="1">
      <c r="A752" s="74"/>
      <c r="B752" s="74"/>
    </row>
    <row r="753" ht="12.0" customHeight="1">
      <c r="A753" s="74"/>
      <c r="B753" s="74"/>
    </row>
    <row r="754" ht="12.0" customHeight="1">
      <c r="A754" s="74"/>
      <c r="B754" s="74"/>
    </row>
    <row r="755" ht="12.0" customHeight="1">
      <c r="A755" s="74"/>
      <c r="B755" s="74"/>
    </row>
    <row r="756" ht="12.0" customHeight="1">
      <c r="A756" s="74"/>
      <c r="B756" s="74"/>
    </row>
    <row r="757" ht="12.0" customHeight="1">
      <c r="A757" s="74"/>
      <c r="B757" s="74"/>
    </row>
    <row r="758" ht="12.0" customHeight="1">
      <c r="A758" s="74"/>
      <c r="B758" s="74"/>
    </row>
    <row r="759" ht="12.0" customHeight="1">
      <c r="A759" s="74"/>
      <c r="B759" s="74"/>
    </row>
    <row r="760" ht="12.0" customHeight="1">
      <c r="A760" s="74"/>
      <c r="B760" s="74"/>
    </row>
    <row r="761" ht="12.0" customHeight="1">
      <c r="A761" s="74"/>
      <c r="B761" s="74"/>
    </row>
    <row r="762" ht="12.0" customHeight="1">
      <c r="A762" s="74"/>
      <c r="B762" s="74"/>
    </row>
    <row r="763" ht="12.0" customHeight="1">
      <c r="A763" s="74"/>
      <c r="B763" s="74"/>
    </row>
    <row r="764" ht="12.0" customHeight="1">
      <c r="A764" s="74"/>
      <c r="B764" s="74"/>
    </row>
    <row r="765" ht="12.0" customHeight="1">
      <c r="A765" s="74"/>
      <c r="B765" s="74"/>
    </row>
    <row r="766" ht="12.0" customHeight="1">
      <c r="A766" s="74"/>
      <c r="B766" s="74"/>
    </row>
    <row r="767" ht="12.0" customHeight="1">
      <c r="A767" s="74"/>
      <c r="B767" s="74"/>
    </row>
    <row r="768" ht="12.0" customHeight="1">
      <c r="A768" s="74"/>
      <c r="B768" s="74"/>
    </row>
    <row r="769" ht="12.0" customHeight="1">
      <c r="A769" s="74"/>
      <c r="B769" s="74"/>
    </row>
    <row r="770" ht="12.0" customHeight="1">
      <c r="A770" s="74"/>
      <c r="B770" s="74"/>
    </row>
    <row r="771" ht="12.0" customHeight="1">
      <c r="A771" s="74"/>
      <c r="B771" s="74"/>
    </row>
    <row r="772" ht="12.0" customHeight="1">
      <c r="A772" s="74"/>
      <c r="B772" s="74"/>
    </row>
    <row r="773" ht="12.0" customHeight="1">
      <c r="A773" s="74"/>
      <c r="B773" s="74"/>
    </row>
    <row r="774" ht="12.0" customHeight="1">
      <c r="A774" s="74"/>
      <c r="B774" s="74"/>
    </row>
    <row r="775" ht="12.0" customHeight="1">
      <c r="A775" s="74"/>
      <c r="B775" s="74"/>
    </row>
    <row r="776" ht="12.0" customHeight="1">
      <c r="A776" s="74"/>
      <c r="B776" s="74"/>
    </row>
    <row r="777" ht="12.0" customHeight="1">
      <c r="A777" s="74"/>
      <c r="B777" s="74"/>
    </row>
    <row r="778" ht="12.0" customHeight="1">
      <c r="A778" s="74"/>
      <c r="B778" s="74"/>
    </row>
    <row r="779" ht="12.0" customHeight="1">
      <c r="A779" s="74"/>
      <c r="B779" s="74"/>
    </row>
    <row r="780" ht="12.0" customHeight="1">
      <c r="A780" s="74"/>
      <c r="B780" s="74"/>
    </row>
    <row r="781" ht="12.0" customHeight="1">
      <c r="A781" s="74"/>
      <c r="B781" s="74"/>
    </row>
    <row r="782" ht="12.0" customHeight="1">
      <c r="A782" s="74"/>
      <c r="B782" s="74"/>
    </row>
    <row r="783" ht="12.0" customHeight="1">
      <c r="A783" s="74"/>
      <c r="B783" s="74"/>
    </row>
    <row r="784" ht="12.0" customHeight="1">
      <c r="A784" s="74"/>
      <c r="B784" s="74"/>
    </row>
    <row r="785" ht="12.0" customHeight="1">
      <c r="A785" s="74"/>
      <c r="B785" s="74"/>
    </row>
    <row r="786" ht="12.0" customHeight="1">
      <c r="A786" s="74"/>
      <c r="B786" s="74"/>
    </row>
    <row r="787" ht="12.0" customHeight="1">
      <c r="A787" s="74"/>
      <c r="B787" s="74"/>
    </row>
    <row r="788" ht="12.0" customHeight="1">
      <c r="A788" s="74"/>
      <c r="B788" s="74"/>
    </row>
    <row r="789" ht="12.0" customHeight="1">
      <c r="A789" s="74"/>
      <c r="B789" s="74"/>
    </row>
    <row r="790" ht="12.0" customHeight="1">
      <c r="A790" s="74"/>
      <c r="B790" s="74"/>
    </row>
    <row r="791" ht="12.0" customHeight="1">
      <c r="A791" s="74"/>
      <c r="B791" s="74"/>
    </row>
    <row r="792" ht="12.0" customHeight="1">
      <c r="A792" s="74"/>
      <c r="B792" s="74"/>
    </row>
    <row r="793" ht="12.0" customHeight="1">
      <c r="A793" s="74"/>
      <c r="B793" s="74"/>
    </row>
    <row r="794" ht="12.0" customHeight="1">
      <c r="A794" s="74"/>
      <c r="B794" s="74"/>
    </row>
    <row r="795" ht="12.0" customHeight="1">
      <c r="A795" s="74"/>
      <c r="B795" s="74"/>
    </row>
    <row r="796" ht="12.0" customHeight="1">
      <c r="A796" s="74"/>
      <c r="B796" s="74"/>
    </row>
    <row r="797" ht="12.0" customHeight="1">
      <c r="A797" s="74"/>
      <c r="B797" s="74"/>
    </row>
    <row r="798" ht="12.0" customHeight="1">
      <c r="A798" s="74"/>
      <c r="B798" s="74"/>
    </row>
    <row r="799" ht="12.0" customHeight="1">
      <c r="A799" s="74"/>
      <c r="B799" s="74"/>
    </row>
    <row r="800" ht="12.0" customHeight="1">
      <c r="A800" s="74"/>
      <c r="B800" s="74"/>
    </row>
    <row r="801" ht="12.0" customHeight="1">
      <c r="A801" s="74"/>
      <c r="B801" s="74"/>
    </row>
    <row r="802" ht="12.0" customHeight="1">
      <c r="A802" s="74"/>
      <c r="B802" s="74"/>
    </row>
    <row r="803" ht="12.0" customHeight="1">
      <c r="A803" s="74"/>
      <c r="B803" s="74"/>
    </row>
    <row r="804" ht="12.0" customHeight="1">
      <c r="A804" s="74"/>
      <c r="B804" s="74"/>
    </row>
    <row r="805" ht="12.0" customHeight="1">
      <c r="A805" s="74"/>
      <c r="B805" s="74"/>
    </row>
    <row r="806" ht="12.0" customHeight="1">
      <c r="A806" s="74"/>
      <c r="B806" s="74"/>
    </row>
    <row r="807" ht="12.0" customHeight="1">
      <c r="A807" s="74"/>
      <c r="B807" s="74"/>
    </row>
    <row r="808" ht="12.0" customHeight="1">
      <c r="A808" s="74"/>
      <c r="B808" s="74"/>
    </row>
    <row r="809" ht="12.0" customHeight="1">
      <c r="A809" s="74"/>
      <c r="B809" s="74"/>
    </row>
    <row r="810" ht="12.0" customHeight="1">
      <c r="A810" s="74"/>
      <c r="B810" s="74"/>
    </row>
    <row r="811" ht="12.0" customHeight="1">
      <c r="A811" s="74"/>
      <c r="B811" s="74"/>
    </row>
    <row r="812" ht="12.0" customHeight="1">
      <c r="A812" s="74"/>
      <c r="B812" s="74"/>
    </row>
    <row r="813" ht="12.0" customHeight="1">
      <c r="A813" s="74"/>
      <c r="B813" s="74"/>
    </row>
    <row r="814" ht="12.0" customHeight="1">
      <c r="A814" s="74"/>
      <c r="B814" s="74"/>
    </row>
    <row r="815" ht="12.0" customHeight="1">
      <c r="A815" s="74"/>
      <c r="B815" s="74"/>
    </row>
    <row r="816" ht="12.0" customHeight="1">
      <c r="A816" s="74"/>
      <c r="B816" s="74"/>
    </row>
    <row r="817" ht="12.0" customHeight="1">
      <c r="A817" s="74"/>
      <c r="B817" s="74"/>
    </row>
    <row r="818" ht="12.0" customHeight="1">
      <c r="A818" s="74"/>
      <c r="B818" s="74"/>
    </row>
    <row r="819" ht="12.0" customHeight="1">
      <c r="A819" s="74"/>
      <c r="B819" s="74"/>
    </row>
    <row r="820" ht="12.0" customHeight="1">
      <c r="A820" s="74"/>
      <c r="B820" s="74"/>
    </row>
    <row r="821" ht="12.0" customHeight="1">
      <c r="A821" s="74"/>
      <c r="B821" s="74"/>
    </row>
    <row r="822" ht="12.0" customHeight="1">
      <c r="A822" s="74"/>
      <c r="B822" s="74"/>
    </row>
    <row r="823" ht="12.0" customHeight="1">
      <c r="A823" s="74"/>
      <c r="B823" s="74"/>
    </row>
    <row r="824" ht="12.0" customHeight="1">
      <c r="A824" s="74"/>
      <c r="B824" s="74"/>
    </row>
    <row r="825" ht="12.0" customHeight="1">
      <c r="A825" s="74"/>
      <c r="B825" s="74"/>
    </row>
    <row r="826" ht="12.0" customHeight="1">
      <c r="A826" s="74"/>
      <c r="B826" s="74"/>
    </row>
    <row r="827" ht="12.0" customHeight="1">
      <c r="A827" s="74"/>
      <c r="B827" s="74"/>
    </row>
    <row r="828" ht="12.0" customHeight="1">
      <c r="A828" s="74"/>
      <c r="B828" s="74"/>
    </row>
    <row r="829" ht="12.0" customHeight="1">
      <c r="A829" s="74"/>
      <c r="B829" s="74"/>
    </row>
    <row r="830" ht="12.0" customHeight="1">
      <c r="A830" s="74"/>
      <c r="B830" s="74"/>
    </row>
    <row r="831" ht="12.0" customHeight="1">
      <c r="A831" s="74"/>
      <c r="B831" s="74"/>
    </row>
    <row r="832" ht="12.0" customHeight="1">
      <c r="A832" s="74"/>
      <c r="B832" s="74"/>
    </row>
    <row r="833" ht="12.0" customHeight="1">
      <c r="A833" s="74"/>
      <c r="B833" s="74"/>
    </row>
    <row r="834" ht="12.0" customHeight="1">
      <c r="A834" s="74"/>
      <c r="B834" s="74"/>
    </row>
    <row r="835" ht="12.0" customHeight="1">
      <c r="A835" s="74"/>
      <c r="B835" s="74"/>
    </row>
    <row r="836" ht="12.0" customHeight="1">
      <c r="A836" s="74"/>
      <c r="B836" s="74"/>
    </row>
    <row r="837" ht="12.0" customHeight="1">
      <c r="A837" s="74"/>
      <c r="B837" s="74"/>
    </row>
    <row r="838" ht="12.0" customHeight="1">
      <c r="A838" s="74"/>
      <c r="B838" s="74"/>
    </row>
    <row r="839" ht="12.0" customHeight="1">
      <c r="A839" s="74"/>
      <c r="B839" s="74"/>
    </row>
    <row r="840" ht="12.0" customHeight="1">
      <c r="A840" s="74"/>
      <c r="B840" s="74"/>
    </row>
    <row r="841" ht="12.0" customHeight="1">
      <c r="A841" s="74"/>
      <c r="B841" s="74"/>
    </row>
    <row r="842" ht="12.0" customHeight="1">
      <c r="A842" s="74"/>
      <c r="B842" s="74"/>
    </row>
    <row r="843" ht="12.0" customHeight="1">
      <c r="A843" s="74"/>
      <c r="B843" s="74"/>
    </row>
    <row r="844" ht="12.0" customHeight="1">
      <c r="A844" s="74"/>
      <c r="B844" s="74"/>
    </row>
    <row r="845" ht="12.0" customHeight="1">
      <c r="A845" s="74"/>
      <c r="B845" s="74"/>
    </row>
    <row r="846" ht="12.0" customHeight="1">
      <c r="A846" s="74"/>
      <c r="B846" s="74"/>
    </row>
    <row r="847" ht="12.0" customHeight="1">
      <c r="A847" s="74"/>
      <c r="B847" s="74"/>
    </row>
    <row r="848" ht="12.0" customHeight="1">
      <c r="A848" s="74"/>
      <c r="B848" s="74"/>
    </row>
    <row r="849" ht="12.0" customHeight="1">
      <c r="A849" s="74"/>
      <c r="B849" s="74"/>
    </row>
    <row r="850" ht="12.0" customHeight="1">
      <c r="A850" s="74"/>
      <c r="B850" s="74"/>
    </row>
    <row r="851" ht="12.0" customHeight="1">
      <c r="A851" s="74"/>
      <c r="B851" s="74"/>
    </row>
    <row r="852" ht="12.0" customHeight="1">
      <c r="A852" s="74"/>
      <c r="B852" s="74"/>
    </row>
    <row r="853" ht="12.0" customHeight="1">
      <c r="A853" s="74"/>
      <c r="B853" s="74"/>
    </row>
    <row r="854" ht="12.0" customHeight="1">
      <c r="A854" s="74"/>
      <c r="B854" s="74"/>
    </row>
    <row r="855" ht="12.0" customHeight="1">
      <c r="A855" s="74"/>
      <c r="B855" s="74"/>
    </row>
    <row r="856" ht="12.0" customHeight="1">
      <c r="A856" s="74"/>
      <c r="B856" s="74"/>
    </row>
    <row r="857" ht="12.0" customHeight="1">
      <c r="A857" s="74"/>
      <c r="B857" s="74"/>
    </row>
    <row r="858" ht="12.0" customHeight="1">
      <c r="A858" s="74"/>
      <c r="B858" s="74"/>
    </row>
    <row r="859" ht="12.0" customHeight="1">
      <c r="A859" s="74"/>
      <c r="B859" s="74"/>
    </row>
    <row r="860" ht="12.0" customHeight="1">
      <c r="A860" s="74"/>
      <c r="B860" s="74"/>
    </row>
    <row r="861" ht="12.0" customHeight="1">
      <c r="A861" s="74"/>
      <c r="B861" s="74"/>
    </row>
    <row r="862" ht="12.0" customHeight="1">
      <c r="A862" s="74"/>
      <c r="B862" s="74"/>
    </row>
    <row r="863" ht="12.0" customHeight="1">
      <c r="A863" s="74"/>
      <c r="B863" s="74"/>
    </row>
    <row r="864" ht="12.0" customHeight="1">
      <c r="A864" s="74"/>
      <c r="B864" s="74"/>
    </row>
    <row r="865" ht="12.0" customHeight="1">
      <c r="A865" s="74"/>
      <c r="B865" s="74"/>
    </row>
    <row r="866" ht="12.0" customHeight="1">
      <c r="A866" s="74"/>
      <c r="B866" s="74"/>
    </row>
    <row r="867" ht="12.0" customHeight="1">
      <c r="A867" s="74"/>
      <c r="B867" s="74"/>
    </row>
    <row r="868" ht="12.0" customHeight="1">
      <c r="A868" s="74"/>
      <c r="B868" s="74"/>
    </row>
    <row r="869" ht="12.0" customHeight="1">
      <c r="A869" s="74"/>
      <c r="B869" s="74"/>
    </row>
    <row r="870" ht="12.0" customHeight="1">
      <c r="A870" s="74"/>
      <c r="B870" s="74"/>
    </row>
    <row r="871" ht="12.0" customHeight="1">
      <c r="A871" s="74"/>
      <c r="B871" s="74"/>
    </row>
    <row r="872" ht="12.0" customHeight="1">
      <c r="A872" s="74"/>
      <c r="B872" s="74"/>
    </row>
    <row r="873" ht="12.0" customHeight="1">
      <c r="A873" s="74"/>
      <c r="B873" s="74"/>
    </row>
    <row r="874" ht="12.0" customHeight="1">
      <c r="A874" s="74"/>
      <c r="B874" s="74"/>
    </row>
    <row r="875" ht="12.0" customHeight="1">
      <c r="A875" s="74"/>
      <c r="B875" s="74"/>
    </row>
    <row r="876" ht="12.0" customHeight="1">
      <c r="A876" s="74"/>
      <c r="B876" s="74"/>
    </row>
    <row r="877" ht="12.0" customHeight="1">
      <c r="A877" s="74"/>
      <c r="B877" s="74"/>
    </row>
    <row r="878" ht="12.0" customHeight="1">
      <c r="A878" s="74"/>
      <c r="B878" s="74"/>
    </row>
    <row r="879" ht="12.0" customHeight="1">
      <c r="A879" s="74"/>
      <c r="B879" s="74"/>
    </row>
    <row r="880" ht="12.0" customHeight="1">
      <c r="A880" s="74"/>
      <c r="B880" s="74"/>
    </row>
    <row r="881" ht="12.0" customHeight="1">
      <c r="A881" s="74"/>
      <c r="B881" s="74"/>
    </row>
    <row r="882" ht="12.0" customHeight="1">
      <c r="A882" s="74"/>
      <c r="B882" s="74"/>
    </row>
    <row r="883" ht="12.0" customHeight="1">
      <c r="A883" s="74"/>
      <c r="B883" s="74"/>
    </row>
    <row r="884" ht="12.0" customHeight="1">
      <c r="A884" s="74"/>
      <c r="B884" s="74"/>
    </row>
    <row r="885" ht="12.0" customHeight="1">
      <c r="A885" s="74"/>
      <c r="B885" s="74"/>
    </row>
    <row r="886" ht="12.0" customHeight="1">
      <c r="A886" s="74"/>
      <c r="B886" s="74"/>
    </row>
    <row r="887" ht="12.0" customHeight="1">
      <c r="A887" s="74"/>
      <c r="B887" s="74"/>
    </row>
    <row r="888" ht="12.0" customHeight="1">
      <c r="A888" s="74"/>
      <c r="B888" s="74"/>
    </row>
    <row r="889" ht="12.0" customHeight="1">
      <c r="A889" s="74"/>
      <c r="B889" s="74"/>
    </row>
    <row r="890" ht="12.0" customHeight="1">
      <c r="A890" s="74"/>
      <c r="B890" s="74"/>
    </row>
    <row r="891" ht="12.0" customHeight="1">
      <c r="A891" s="74"/>
      <c r="B891" s="74"/>
    </row>
    <row r="892" ht="12.0" customHeight="1">
      <c r="A892" s="74"/>
      <c r="B892" s="74"/>
    </row>
    <row r="893" ht="12.0" customHeight="1">
      <c r="A893" s="74"/>
      <c r="B893" s="74"/>
    </row>
    <row r="894" ht="12.0" customHeight="1">
      <c r="A894" s="74"/>
      <c r="B894" s="74"/>
    </row>
    <row r="895" ht="12.0" customHeight="1">
      <c r="A895" s="74"/>
      <c r="B895" s="74"/>
    </row>
    <row r="896" ht="12.0" customHeight="1">
      <c r="A896" s="74"/>
      <c r="B896" s="74"/>
    </row>
    <row r="897" ht="12.0" customHeight="1">
      <c r="A897" s="74"/>
      <c r="B897" s="74"/>
    </row>
    <row r="898" ht="12.0" customHeight="1">
      <c r="A898" s="74"/>
      <c r="B898" s="74"/>
    </row>
    <row r="899" ht="12.0" customHeight="1">
      <c r="A899" s="74"/>
      <c r="B899" s="74"/>
    </row>
    <row r="900" ht="12.0" customHeight="1">
      <c r="A900" s="74"/>
      <c r="B900" s="74"/>
    </row>
    <row r="901" ht="12.0" customHeight="1">
      <c r="A901" s="74"/>
      <c r="B901" s="74"/>
    </row>
    <row r="902" ht="12.0" customHeight="1">
      <c r="A902" s="74"/>
      <c r="B902" s="74"/>
    </row>
    <row r="903" ht="12.0" customHeight="1">
      <c r="A903" s="74"/>
      <c r="B903" s="74"/>
    </row>
    <row r="904" ht="12.0" customHeight="1">
      <c r="A904" s="74"/>
      <c r="B904" s="74"/>
    </row>
    <row r="905" ht="12.0" customHeight="1">
      <c r="A905" s="74"/>
      <c r="B905" s="74"/>
    </row>
    <row r="906" ht="12.0" customHeight="1">
      <c r="A906" s="74"/>
      <c r="B906" s="74"/>
    </row>
    <row r="907" ht="12.0" customHeight="1">
      <c r="A907" s="74"/>
      <c r="B907" s="74"/>
    </row>
    <row r="908" ht="12.0" customHeight="1">
      <c r="A908" s="74"/>
      <c r="B908" s="74"/>
    </row>
    <row r="909" ht="12.0" customHeight="1">
      <c r="A909" s="74"/>
      <c r="B909" s="74"/>
    </row>
    <row r="910" ht="12.0" customHeight="1">
      <c r="A910" s="74"/>
      <c r="B910" s="74"/>
    </row>
    <row r="911" ht="12.0" customHeight="1">
      <c r="A911" s="74"/>
      <c r="B911" s="74"/>
    </row>
    <row r="912" ht="12.0" customHeight="1">
      <c r="A912" s="74"/>
      <c r="B912" s="74"/>
    </row>
    <row r="913" ht="12.0" customHeight="1">
      <c r="A913" s="74"/>
      <c r="B913" s="74"/>
    </row>
    <row r="914" ht="12.0" customHeight="1">
      <c r="A914" s="74"/>
      <c r="B914" s="74"/>
    </row>
    <row r="915" ht="12.0" customHeight="1">
      <c r="A915" s="74"/>
      <c r="B915" s="74"/>
    </row>
    <row r="916" ht="12.0" customHeight="1">
      <c r="A916" s="74"/>
      <c r="B916" s="74"/>
    </row>
    <row r="917" ht="12.0" customHeight="1">
      <c r="A917" s="74"/>
      <c r="B917" s="74"/>
    </row>
    <row r="918" ht="12.0" customHeight="1">
      <c r="A918" s="74"/>
      <c r="B918" s="74"/>
    </row>
    <row r="919" ht="12.0" customHeight="1">
      <c r="A919" s="74"/>
      <c r="B919" s="74"/>
    </row>
    <row r="920" ht="12.0" customHeight="1">
      <c r="A920" s="74"/>
      <c r="B920" s="74"/>
    </row>
    <row r="921" ht="12.0" customHeight="1">
      <c r="A921" s="74"/>
      <c r="B921" s="74"/>
    </row>
    <row r="922" ht="12.0" customHeight="1">
      <c r="A922" s="74"/>
      <c r="B922" s="74"/>
    </row>
    <row r="923" ht="12.0" customHeight="1">
      <c r="A923" s="74"/>
      <c r="B923" s="74"/>
    </row>
    <row r="924" ht="12.0" customHeight="1">
      <c r="A924" s="74"/>
      <c r="B924" s="74"/>
    </row>
    <row r="925" ht="12.0" customHeight="1">
      <c r="A925" s="74"/>
      <c r="B925" s="74"/>
    </row>
    <row r="926" ht="12.0" customHeight="1">
      <c r="A926" s="74"/>
      <c r="B926" s="74"/>
    </row>
    <row r="927" ht="12.0" customHeight="1">
      <c r="A927" s="74"/>
      <c r="B927" s="74"/>
    </row>
    <row r="928" ht="12.0" customHeight="1">
      <c r="A928" s="74"/>
      <c r="B928" s="74"/>
    </row>
    <row r="929" ht="12.0" customHeight="1">
      <c r="A929" s="74"/>
      <c r="B929" s="74"/>
    </row>
    <row r="930" ht="12.0" customHeight="1">
      <c r="A930" s="74"/>
      <c r="B930" s="74"/>
    </row>
    <row r="931" ht="12.0" customHeight="1">
      <c r="A931" s="74"/>
      <c r="B931" s="74"/>
    </row>
    <row r="932" ht="12.0" customHeight="1">
      <c r="A932" s="74"/>
      <c r="B932" s="74"/>
    </row>
    <row r="933" ht="12.0" customHeight="1">
      <c r="A933" s="74"/>
      <c r="B933" s="74"/>
    </row>
    <row r="934" ht="12.0" customHeight="1">
      <c r="A934" s="74"/>
      <c r="B934" s="74"/>
    </row>
    <row r="935" ht="12.0" customHeight="1">
      <c r="A935" s="74"/>
      <c r="B935" s="74"/>
    </row>
    <row r="936" ht="12.0" customHeight="1">
      <c r="A936" s="74"/>
      <c r="B936" s="74"/>
    </row>
    <row r="937" ht="12.0" customHeight="1">
      <c r="A937" s="74"/>
      <c r="B937" s="74"/>
    </row>
    <row r="938" ht="12.0" customHeight="1">
      <c r="A938" s="74"/>
      <c r="B938" s="74"/>
    </row>
    <row r="939" ht="12.0" customHeight="1">
      <c r="A939" s="74"/>
      <c r="B939" s="74"/>
    </row>
    <row r="940" ht="12.0" customHeight="1">
      <c r="A940" s="74"/>
      <c r="B940" s="74"/>
    </row>
    <row r="941" ht="12.0" customHeight="1">
      <c r="A941" s="74"/>
      <c r="B941" s="74"/>
    </row>
    <row r="942" ht="12.0" customHeight="1">
      <c r="A942" s="74"/>
      <c r="B942" s="74"/>
    </row>
    <row r="943" ht="12.0" customHeight="1">
      <c r="A943" s="74"/>
      <c r="B943" s="74"/>
    </row>
    <row r="944" ht="12.0" customHeight="1">
      <c r="A944" s="74"/>
      <c r="B944" s="74"/>
    </row>
    <row r="945" ht="12.0" customHeight="1">
      <c r="A945" s="74"/>
      <c r="B945" s="74"/>
    </row>
    <row r="946" ht="12.0" customHeight="1">
      <c r="A946" s="74"/>
      <c r="B946" s="74"/>
    </row>
    <row r="947" ht="12.0" customHeight="1">
      <c r="A947" s="74"/>
      <c r="B947" s="74"/>
    </row>
    <row r="948" ht="12.0" customHeight="1">
      <c r="A948" s="74"/>
      <c r="B948" s="74"/>
    </row>
    <row r="949" ht="12.0" customHeight="1">
      <c r="A949" s="74"/>
      <c r="B949" s="74"/>
    </row>
    <row r="950" ht="12.0" customHeight="1">
      <c r="A950" s="74"/>
      <c r="B950" s="74"/>
    </row>
    <row r="951" ht="12.0" customHeight="1">
      <c r="A951" s="74"/>
      <c r="B951" s="74"/>
    </row>
    <row r="952" ht="12.0" customHeight="1">
      <c r="A952" s="74"/>
      <c r="B952" s="74"/>
    </row>
    <row r="953" ht="12.0" customHeight="1">
      <c r="A953" s="74"/>
      <c r="B953" s="74"/>
    </row>
    <row r="954" ht="12.0" customHeight="1">
      <c r="A954" s="74"/>
      <c r="B954" s="74"/>
    </row>
    <row r="955" ht="12.0" customHeight="1">
      <c r="A955" s="74"/>
      <c r="B955" s="74"/>
    </row>
    <row r="956" ht="12.0" customHeight="1">
      <c r="A956" s="74"/>
      <c r="B956" s="74"/>
    </row>
    <row r="957" ht="12.0" customHeight="1">
      <c r="A957" s="74"/>
      <c r="B957" s="74"/>
    </row>
    <row r="958" ht="12.0" customHeight="1">
      <c r="A958" s="74"/>
      <c r="B958" s="74"/>
    </row>
    <row r="959" ht="12.0" customHeight="1">
      <c r="A959" s="74"/>
      <c r="B959" s="74"/>
    </row>
    <row r="960" ht="12.0" customHeight="1">
      <c r="A960" s="74"/>
      <c r="B960" s="74"/>
    </row>
    <row r="961" ht="12.0" customHeight="1">
      <c r="A961" s="74"/>
      <c r="B961" s="74"/>
    </row>
    <row r="962" ht="12.0" customHeight="1">
      <c r="A962" s="74"/>
      <c r="B962" s="74"/>
    </row>
    <row r="963" ht="12.0" customHeight="1">
      <c r="A963" s="74"/>
      <c r="B963" s="74"/>
    </row>
    <row r="964" ht="12.0" customHeight="1">
      <c r="A964" s="74"/>
      <c r="B964" s="74"/>
    </row>
    <row r="965" ht="12.0" customHeight="1">
      <c r="A965" s="74"/>
      <c r="B965" s="74"/>
    </row>
    <row r="966" ht="12.0" customHeight="1">
      <c r="A966" s="74"/>
      <c r="B966" s="74"/>
    </row>
    <row r="967" ht="12.0" customHeight="1">
      <c r="A967" s="74"/>
      <c r="B967" s="74"/>
    </row>
    <row r="968" ht="12.0" customHeight="1">
      <c r="A968" s="74"/>
      <c r="B968" s="74"/>
    </row>
    <row r="969" ht="12.0" customHeight="1">
      <c r="A969" s="74"/>
      <c r="B969" s="74"/>
    </row>
    <row r="970" ht="12.0" customHeight="1">
      <c r="A970" s="74"/>
      <c r="B970" s="74"/>
    </row>
    <row r="971" ht="12.0" customHeight="1">
      <c r="A971" s="74"/>
      <c r="B971" s="74"/>
    </row>
    <row r="972" ht="12.0" customHeight="1">
      <c r="A972" s="74"/>
      <c r="B972" s="74"/>
    </row>
    <row r="973" ht="12.0" customHeight="1">
      <c r="A973" s="74"/>
      <c r="B973" s="74"/>
    </row>
    <row r="974" ht="12.0" customHeight="1">
      <c r="A974" s="74"/>
      <c r="B974" s="74"/>
    </row>
    <row r="975" ht="12.0" customHeight="1">
      <c r="A975" s="74"/>
      <c r="B975" s="74"/>
    </row>
    <row r="976" ht="12.0" customHeight="1">
      <c r="A976" s="74"/>
      <c r="B976" s="74"/>
    </row>
    <row r="977" ht="12.0" customHeight="1">
      <c r="A977" s="74"/>
      <c r="B977" s="74"/>
    </row>
    <row r="978" ht="12.0" customHeight="1">
      <c r="A978" s="74"/>
      <c r="B978" s="74"/>
    </row>
    <row r="979" ht="12.0" customHeight="1">
      <c r="A979" s="74"/>
      <c r="B979" s="74"/>
    </row>
    <row r="980" ht="12.0" customHeight="1">
      <c r="A980" s="74"/>
      <c r="B980" s="74"/>
    </row>
    <row r="981" ht="12.0" customHeight="1">
      <c r="A981" s="74"/>
      <c r="B981" s="74"/>
    </row>
    <row r="982" ht="12.0" customHeight="1">
      <c r="A982" s="74"/>
      <c r="B982" s="74"/>
    </row>
    <row r="983" ht="12.0" customHeight="1">
      <c r="A983" s="74"/>
      <c r="B983" s="74"/>
    </row>
    <row r="984" ht="12.0" customHeight="1">
      <c r="A984" s="74"/>
      <c r="B984" s="74"/>
    </row>
    <row r="985" ht="12.0" customHeight="1">
      <c r="A985" s="74"/>
      <c r="B985" s="74"/>
    </row>
    <row r="986" ht="12.0" customHeight="1">
      <c r="A986" s="74"/>
      <c r="B986" s="74"/>
    </row>
    <row r="987" ht="12.0" customHeight="1">
      <c r="A987" s="74"/>
      <c r="B987" s="74"/>
    </row>
    <row r="988" ht="12.0" customHeight="1">
      <c r="A988" s="74"/>
      <c r="B988" s="74"/>
    </row>
    <row r="989" ht="12.0" customHeight="1">
      <c r="A989" s="74"/>
      <c r="B989" s="74"/>
    </row>
    <row r="990" ht="12.0" customHeight="1">
      <c r="A990" s="74"/>
      <c r="B990" s="74"/>
    </row>
    <row r="991" ht="12.0" customHeight="1">
      <c r="A991" s="74"/>
      <c r="B991" s="74"/>
    </row>
    <row r="992" ht="12.0" customHeight="1">
      <c r="A992" s="74"/>
      <c r="B992" s="74"/>
    </row>
    <row r="993" ht="12.0" customHeight="1">
      <c r="A993" s="74"/>
      <c r="B993" s="74"/>
    </row>
    <row r="994" ht="12.0" customHeight="1">
      <c r="A994" s="74"/>
      <c r="B994" s="74"/>
    </row>
    <row r="995" ht="12.0" customHeight="1">
      <c r="A995" s="74"/>
      <c r="B995" s="74"/>
    </row>
    <row r="996" ht="12.0" customHeight="1">
      <c r="A996" s="74"/>
      <c r="B996" s="74"/>
    </row>
    <row r="997" ht="12.0" customHeight="1">
      <c r="A997" s="74"/>
      <c r="B997" s="74"/>
    </row>
    <row r="998" ht="12.0" customHeight="1">
      <c r="A998" s="74"/>
      <c r="B998" s="74"/>
    </row>
    <row r="999" ht="12.0" customHeight="1">
      <c r="A999" s="74"/>
      <c r="B999" s="74"/>
    </row>
    <row r="1000" ht="12.0" customHeight="1">
      <c r="A1000" s="74"/>
      <c r="B1000" s="74"/>
    </row>
  </sheetData>
  <autoFilter ref="$A$2:$H$67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5" t="s">
        <v>29</v>
      </c>
      <c r="B1" s="75" t="s">
        <v>115</v>
      </c>
      <c r="C1" s="76" t="s">
        <v>116</v>
      </c>
      <c r="D1" s="77" t="s">
        <v>31</v>
      </c>
      <c r="E1" s="75" t="s">
        <v>117</v>
      </c>
      <c r="F1" s="75" t="s">
        <v>118</v>
      </c>
    </row>
    <row r="2">
      <c r="A2" s="78" t="s">
        <v>68</v>
      </c>
      <c r="B2" s="79" t="s">
        <v>119</v>
      </c>
      <c r="C2" s="80">
        <v>0.0046</v>
      </c>
      <c r="D2" s="81">
        <v>3717.07</v>
      </c>
      <c r="E2" s="81">
        <v>-282.91</v>
      </c>
      <c r="F2" s="82">
        <v>-0.0707</v>
      </c>
    </row>
    <row r="3">
      <c r="A3" s="78" t="s">
        <v>59</v>
      </c>
      <c r="B3" s="79" t="s">
        <v>44</v>
      </c>
      <c r="C3" s="80">
        <v>0.0046</v>
      </c>
      <c r="D3" s="81">
        <v>3730.5</v>
      </c>
      <c r="E3" s="81">
        <v>-976.5</v>
      </c>
      <c r="F3" s="83">
        <v>-0.2075</v>
      </c>
    </row>
    <row r="4">
      <c r="A4" s="78" t="s">
        <v>61</v>
      </c>
      <c r="B4" s="79" t="s">
        <v>44</v>
      </c>
      <c r="C4" s="80">
        <v>0.0032</v>
      </c>
      <c r="D4" s="81">
        <v>2559.38</v>
      </c>
      <c r="E4" s="81">
        <v>712.66</v>
      </c>
      <c r="F4" s="84">
        <v>0.3859</v>
      </c>
    </row>
    <row r="5">
      <c r="A5" s="78" t="s">
        <v>77</v>
      </c>
      <c r="B5" s="79" t="s">
        <v>44</v>
      </c>
      <c r="C5" s="80">
        <v>0.0055</v>
      </c>
      <c r="D5" s="81">
        <v>4399.95</v>
      </c>
      <c r="E5" s="81">
        <v>-323.4</v>
      </c>
      <c r="F5" s="85">
        <v>-0.0685</v>
      </c>
    </row>
    <row r="6">
      <c r="A6" s="78" t="s">
        <v>79</v>
      </c>
      <c r="B6" s="79" t="s">
        <v>44</v>
      </c>
      <c r="C6" s="80">
        <v>0.0058</v>
      </c>
      <c r="D6" s="81">
        <v>4669.44</v>
      </c>
      <c r="E6" s="81">
        <v>-139.02</v>
      </c>
      <c r="F6" s="86">
        <v>-0.029</v>
      </c>
    </row>
    <row r="7">
      <c r="A7" s="78" t="s">
        <v>81</v>
      </c>
      <c r="B7" s="79" t="s">
        <v>44</v>
      </c>
      <c r="C7" s="80">
        <v>0.0267</v>
      </c>
      <c r="D7" s="81">
        <v>21512.68</v>
      </c>
      <c r="E7" s="81">
        <v>9381.6</v>
      </c>
      <c r="F7" s="87">
        <v>0.7733</v>
      </c>
    </row>
    <row r="8">
      <c r="A8" s="78" t="s">
        <v>90</v>
      </c>
      <c r="B8" s="79" t="s">
        <v>44</v>
      </c>
      <c r="C8" s="80">
        <v>0.0074</v>
      </c>
      <c r="D8" s="81">
        <v>5961.79</v>
      </c>
      <c r="E8" s="81">
        <v>1122.62</v>
      </c>
      <c r="F8" s="88">
        <v>0.2319</v>
      </c>
    </row>
    <row r="9">
      <c r="A9" s="78" t="s">
        <v>93</v>
      </c>
      <c r="B9" s="79" t="s">
        <v>44</v>
      </c>
      <c r="C9" s="80">
        <v>0.0059</v>
      </c>
      <c r="D9" s="81">
        <v>4714.6</v>
      </c>
      <c r="E9" s="81">
        <v>-141.81</v>
      </c>
      <c r="F9" s="89">
        <v>-0.0292</v>
      </c>
    </row>
    <row r="10">
      <c r="A10" s="78" t="s">
        <v>105</v>
      </c>
      <c r="B10" s="79" t="s">
        <v>44</v>
      </c>
      <c r="C10" s="80">
        <v>0.0053</v>
      </c>
      <c r="D10" s="81">
        <v>4229.28</v>
      </c>
      <c r="E10" s="81">
        <v>-591.78</v>
      </c>
      <c r="F10" s="90">
        <v>-0.1228</v>
      </c>
    </row>
    <row r="11">
      <c r="A11" s="78" t="s">
        <v>106</v>
      </c>
      <c r="B11" s="79" t="s">
        <v>44</v>
      </c>
      <c r="C11" s="80">
        <v>0.0072</v>
      </c>
      <c r="D11" s="81">
        <v>5772.01</v>
      </c>
      <c r="E11" s="81">
        <v>876.73</v>
      </c>
      <c r="F11" s="91">
        <v>0.179</v>
      </c>
    </row>
    <row r="12">
      <c r="A12" s="78" t="s">
        <v>61</v>
      </c>
      <c r="B12" s="79" t="s">
        <v>120</v>
      </c>
      <c r="C12" s="80">
        <v>0.0051</v>
      </c>
      <c r="D12" s="81">
        <v>4128.04</v>
      </c>
      <c r="E12" s="81">
        <v>1149.45</v>
      </c>
      <c r="F12" s="84">
        <v>0.3859</v>
      </c>
    </row>
    <row r="13">
      <c r="A13" s="78" t="s">
        <v>53</v>
      </c>
      <c r="B13" s="79" t="s">
        <v>46</v>
      </c>
      <c r="C13" s="80">
        <v>0.0091</v>
      </c>
      <c r="D13" s="81">
        <v>7319.96</v>
      </c>
      <c r="E13" s="81">
        <v>-780.03</v>
      </c>
      <c r="F13" s="92">
        <v>-0.0963</v>
      </c>
    </row>
    <row r="14">
      <c r="A14" s="78" t="s">
        <v>55</v>
      </c>
      <c r="B14" s="79" t="s">
        <v>46</v>
      </c>
      <c r="C14" s="80">
        <v>0.0106</v>
      </c>
      <c r="D14" s="81">
        <v>8559.58</v>
      </c>
      <c r="E14" s="81">
        <v>559.59</v>
      </c>
      <c r="F14" s="93">
        <v>0.0699</v>
      </c>
    </row>
    <row r="15">
      <c r="A15" s="78" t="s">
        <v>63</v>
      </c>
      <c r="B15" s="79" t="s">
        <v>46</v>
      </c>
      <c r="C15" s="80">
        <v>0.0201</v>
      </c>
      <c r="D15" s="81">
        <v>16162.92</v>
      </c>
      <c r="E15" s="81">
        <v>8162.97</v>
      </c>
      <c r="F15" s="94">
        <v>1.0203</v>
      </c>
    </row>
    <row r="16">
      <c r="A16" s="78" t="s">
        <v>67</v>
      </c>
      <c r="B16" s="79" t="s">
        <v>46</v>
      </c>
      <c r="C16" s="80">
        <v>0.0104</v>
      </c>
      <c r="D16" s="81">
        <v>8401.08</v>
      </c>
      <c r="E16" s="81">
        <v>401.09</v>
      </c>
      <c r="F16" s="95">
        <v>0.0501</v>
      </c>
    </row>
    <row r="17">
      <c r="A17" s="78" t="s">
        <v>69</v>
      </c>
      <c r="B17" s="79" t="s">
        <v>46</v>
      </c>
      <c r="C17" s="80">
        <v>0.0109</v>
      </c>
      <c r="D17" s="81">
        <v>8740.47</v>
      </c>
      <c r="E17" s="81">
        <v>740.54</v>
      </c>
      <c r="F17" s="96">
        <v>0.0925</v>
      </c>
    </row>
    <row r="18">
      <c r="A18" s="78" t="s">
        <v>72</v>
      </c>
      <c r="B18" s="79" t="s">
        <v>46</v>
      </c>
      <c r="C18" s="80">
        <v>0.013</v>
      </c>
      <c r="D18" s="81">
        <v>10486.47</v>
      </c>
      <c r="E18" s="81">
        <v>2487.07</v>
      </c>
      <c r="F18" s="97">
        <v>0.3109</v>
      </c>
    </row>
    <row r="19">
      <c r="A19" s="78" t="s">
        <v>92</v>
      </c>
      <c r="B19" s="79" t="s">
        <v>46</v>
      </c>
      <c r="C19" s="80">
        <v>0.0111</v>
      </c>
      <c r="D19" s="81">
        <v>8973.63</v>
      </c>
      <c r="E19" s="81">
        <v>973.65</v>
      </c>
      <c r="F19" s="98">
        <v>0.1217</v>
      </c>
    </row>
    <row r="20">
      <c r="A20" s="78" t="s">
        <v>97</v>
      </c>
      <c r="B20" s="79" t="s">
        <v>46</v>
      </c>
      <c r="C20" s="80">
        <v>0.0121</v>
      </c>
      <c r="D20" s="81">
        <v>9767.57</v>
      </c>
      <c r="E20" s="81">
        <v>1767.7</v>
      </c>
      <c r="F20" s="99">
        <v>0.2209</v>
      </c>
    </row>
    <row r="21">
      <c r="A21" s="78" t="s">
        <v>109</v>
      </c>
      <c r="B21" s="79" t="s">
        <v>46</v>
      </c>
      <c r="C21" s="80">
        <v>0.014</v>
      </c>
      <c r="D21" s="81">
        <v>11302.71</v>
      </c>
      <c r="E21" s="81">
        <v>3302.79</v>
      </c>
      <c r="F21" s="100">
        <v>0.4128</v>
      </c>
    </row>
    <row r="22">
      <c r="A22" s="78" t="s">
        <v>113</v>
      </c>
      <c r="B22" s="79" t="s">
        <v>46</v>
      </c>
      <c r="C22" s="80">
        <v>0.0086</v>
      </c>
      <c r="D22" s="81">
        <v>6907.21</v>
      </c>
      <c r="E22" s="81">
        <v>-1092.71</v>
      </c>
      <c r="F22" s="101">
        <v>-0.1366</v>
      </c>
    </row>
    <row r="23">
      <c r="A23" s="78" t="s">
        <v>43</v>
      </c>
      <c r="B23" s="79" t="s">
        <v>48</v>
      </c>
      <c r="C23" s="80">
        <v>0.0108</v>
      </c>
      <c r="D23" s="81">
        <v>8668.51</v>
      </c>
      <c r="E23" s="81">
        <v>668.57</v>
      </c>
      <c r="F23" s="102">
        <v>0.0835</v>
      </c>
    </row>
    <row r="24">
      <c r="A24" s="78" t="s">
        <v>68</v>
      </c>
      <c r="B24" s="79" t="s">
        <v>48</v>
      </c>
      <c r="C24" s="80">
        <v>0.0046</v>
      </c>
      <c r="D24" s="81">
        <v>3717.07</v>
      </c>
      <c r="E24" s="81">
        <v>-282.91</v>
      </c>
      <c r="F24" s="82">
        <v>-0.0707</v>
      </c>
    </row>
    <row r="25">
      <c r="A25" s="78" t="s">
        <v>78</v>
      </c>
      <c r="B25" s="79" t="s">
        <v>48</v>
      </c>
      <c r="C25" s="80">
        <v>0.0092</v>
      </c>
      <c r="D25" s="81">
        <v>7396.34</v>
      </c>
      <c r="E25" s="81">
        <v>-603.64</v>
      </c>
      <c r="F25" s="103">
        <v>-0.0755</v>
      </c>
    </row>
    <row r="26">
      <c r="A26" s="78" t="s">
        <v>83</v>
      </c>
      <c r="B26" s="79" t="s">
        <v>48</v>
      </c>
      <c r="C26" s="80">
        <v>0.022</v>
      </c>
      <c r="D26" s="81">
        <v>17670.78</v>
      </c>
      <c r="E26" s="81">
        <v>670.84</v>
      </c>
      <c r="F26" s="104">
        <v>0.0394</v>
      </c>
    </row>
    <row r="27">
      <c r="A27" s="78" t="s">
        <v>85</v>
      </c>
      <c r="B27" s="79" t="s">
        <v>48</v>
      </c>
      <c r="C27" s="80">
        <v>0.0108</v>
      </c>
      <c r="D27" s="81">
        <v>8727.23</v>
      </c>
      <c r="E27" s="81">
        <v>727.31</v>
      </c>
      <c r="F27" s="105">
        <v>0.0909</v>
      </c>
    </row>
    <row r="28">
      <c r="A28" s="78" t="s">
        <v>88</v>
      </c>
      <c r="B28" s="79" t="s">
        <v>48</v>
      </c>
      <c r="C28" s="80">
        <v>0.0111</v>
      </c>
      <c r="D28" s="81">
        <v>8935.4</v>
      </c>
      <c r="E28" s="81">
        <v>935.44</v>
      </c>
      <c r="F28" s="106">
        <v>0.1169</v>
      </c>
    </row>
    <row r="29">
      <c r="A29" s="78" t="s">
        <v>91</v>
      </c>
      <c r="B29" s="79" t="s">
        <v>48</v>
      </c>
      <c r="C29" s="80">
        <v>0.0106</v>
      </c>
      <c r="D29" s="81">
        <v>8541.46</v>
      </c>
      <c r="E29" s="81">
        <v>541.46</v>
      </c>
      <c r="F29" s="107">
        <v>0.0676</v>
      </c>
    </row>
    <row r="30">
      <c r="A30" s="78" t="s">
        <v>98</v>
      </c>
      <c r="B30" s="79" t="s">
        <v>48</v>
      </c>
      <c r="C30" s="80">
        <v>0.0105</v>
      </c>
      <c r="D30" s="81">
        <v>8414.66</v>
      </c>
      <c r="E30" s="81">
        <v>414.71</v>
      </c>
      <c r="F30" s="108">
        <v>0.0518</v>
      </c>
    </row>
    <row r="31">
      <c r="A31" s="78" t="s">
        <v>102</v>
      </c>
      <c r="B31" s="79" t="s">
        <v>48</v>
      </c>
      <c r="C31" s="80">
        <v>0.0097</v>
      </c>
      <c r="D31" s="81">
        <v>7813.25</v>
      </c>
      <c r="E31" s="81">
        <v>-186.65</v>
      </c>
      <c r="F31" s="109">
        <v>-0.0234</v>
      </c>
    </row>
    <row r="32">
      <c r="A32" s="78" t="s">
        <v>62</v>
      </c>
      <c r="B32" s="79" t="s">
        <v>50</v>
      </c>
      <c r="C32" s="80">
        <v>0.012</v>
      </c>
      <c r="D32" s="81">
        <v>9666.52</v>
      </c>
      <c r="E32" s="81">
        <v>1666.57</v>
      </c>
      <c r="F32" s="110">
        <v>0.2083</v>
      </c>
    </row>
    <row r="33">
      <c r="A33" s="78" t="s">
        <v>73</v>
      </c>
      <c r="B33" s="79" t="s">
        <v>50</v>
      </c>
      <c r="C33" s="80">
        <v>0.0104</v>
      </c>
      <c r="D33" s="81">
        <v>8371.32</v>
      </c>
      <c r="E33" s="81">
        <v>371.35</v>
      </c>
      <c r="F33" s="111">
        <v>0.0464</v>
      </c>
    </row>
    <row r="34">
      <c r="A34" s="78" t="s">
        <v>76</v>
      </c>
      <c r="B34" s="79" t="s">
        <v>50</v>
      </c>
      <c r="C34" s="80">
        <v>0.01</v>
      </c>
      <c r="D34" s="81">
        <v>8077.34</v>
      </c>
      <c r="E34" s="81">
        <v>77.62</v>
      </c>
      <c r="F34" s="112">
        <v>0.0097</v>
      </c>
    </row>
    <row r="35">
      <c r="A35" s="78" t="s">
        <v>57</v>
      </c>
      <c r="B35" s="79" t="s">
        <v>52</v>
      </c>
      <c r="C35" s="80">
        <v>0.0048</v>
      </c>
      <c r="D35" s="81">
        <v>3886.98</v>
      </c>
      <c r="E35" s="81">
        <v>-592.17</v>
      </c>
      <c r="F35" s="113">
        <v>-0.1323</v>
      </c>
    </row>
    <row r="36">
      <c r="A36" s="78" t="s">
        <v>84</v>
      </c>
      <c r="B36" s="79" t="s">
        <v>52</v>
      </c>
      <c r="C36" s="80">
        <v>0.0091</v>
      </c>
      <c r="D36" s="81">
        <v>7328.19</v>
      </c>
      <c r="E36" s="81">
        <v>-671.41</v>
      </c>
      <c r="F36" s="114">
        <v>-0.084</v>
      </c>
    </row>
    <row r="37">
      <c r="A37" s="78" t="s">
        <v>108</v>
      </c>
      <c r="B37" s="79" t="s">
        <v>52</v>
      </c>
      <c r="C37" s="80">
        <v>0.0093</v>
      </c>
      <c r="D37" s="81">
        <v>7467.43</v>
      </c>
      <c r="E37" s="81">
        <v>-532.34</v>
      </c>
      <c r="F37" s="115">
        <v>-0.0666</v>
      </c>
    </row>
    <row r="38">
      <c r="A38" s="78" t="s">
        <v>49</v>
      </c>
      <c r="B38" s="79" t="s">
        <v>54</v>
      </c>
      <c r="C38" s="80">
        <v>0.0083</v>
      </c>
      <c r="D38" s="81">
        <v>6684.08</v>
      </c>
      <c r="E38" s="81">
        <v>-1315.91</v>
      </c>
      <c r="F38" s="116">
        <v>-0.1645</v>
      </c>
    </row>
    <row r="39">
      <c r="A39" s="78" t="s">
        <v>89</v>
      </c>
      <c r="B39" s="79" t="s">
        <v>54</v>
      </c>
      <c r="C39" s="80">
        <v>0.0125</v>
      </c>
      <c r="D39" s="81">
        <v>10081.72</v>
      </c>
      <c r="E39" s="81">
        <v>1997.38</v>
      </c>
      <c r="F39" s="117">
        <v>0.247</v>
      </c>
    </row>
    <row r="40">
      <c r="A40" s="78" t="s">
        <v>94</v>
      </c>
      <c r="B40" s="79" t="s">
        <v>54</v>
      </c>
      <c r="C40" s="80">
        <v>0.0114</v>
      </c>
      <c r="D40" s="81">
        <v>9160.32</v>
      </c>
      <c r="E40" s="81">
        <v>1011.06</v>
      </c>
      <c r="F40" s="98">
        <v>0.124</v>
      </c>
    </row>
    <row r="41">
      <c r="A41" s="78" t="s">
        <v>100</v>
      </c>
      <c r="B41" s="79" t="s">
        <v>54</v>
      </c>
      <c r="C41" s="80">
        <v>0.0113</v>
      </c>
      <c r="D41" s="81">
        <v>9078.99</v>
      </c>
      <c r="E41" s="81">
        <v>988.41</v>
      </c>
      <c r="F41" s="98">
        <v>0.1221</v>
      </c>
    </row>
    <row r="42">
      <c r="A42" s="78" t="s">
        <v>41</v>
      </c>
      <c r="B42" s="79" t="s">
        <v>56</v>
      </c>
      <c r="C42" s="80">
        <v>0.0091</v>
      </c>
      <c r="D42" s="81">
        <v>7356.02</v>
      </c>
      <c r="E42" s="81">
        <v>-654.65</v>
      </c>
      <c r="F42" s="118">
        <v>-0.0818</v>
      </c>
    </row>
    <row r="43">
      <c r="A43" s="78" t="s">
        <v>45</v>
      </c>
      <c r="B43" s="79" t="s">
        <v>56</v>
      </c>
      <c r="C43" s="80">
        <v>0.0042</v>
      </c>
      <c r="D43" s="81">
        <v>3401.19</v>
      </c>
      <c r="E43" s="81">
        <v>-609.65</v>
      </c>
      <c r="F43" s="119">
        <v>-0.1521</v>
      </c>
    </row>
    <row r="44">
      <c r="A44" s="78" t="s">
        <v>47</v>
      </c>
      <c r="B44" s="79" t="s">
        <v>56</v>
      </c>
      <c r="C44" s="80">
        <v>0.006</v>
      </c>
      <c r="D44" s="81">
        <v>4805.23</v>
      </c>
      <c r="E44" s="81">
        <v>-552.67</v>
      </c>
      <c r="F44" s="120">
        <v>-0.1032</v>
      </c>
    </row>
    <row r="45">
      <c r="A45" s="78" t="s">
        <v>51</v>
      </c>
      <c r="B45" s="79" t="s">
        <v>56</v>
      </c>
      <c r="C45" s="80">
        <v>0.0103</v>
      </c>
      <c r="D45" s="81">
        <v>8255.2</v>
      </c>
      <c r="E45" s="81">
        <v>224.61</v>
      </c>
      <c r="F45" s="121">
        <v>0.0279</v>
      </c>
    </row>
    <row r="46">
      <c r="A46" s="78" t="s">
        <v>70</v>
      </c>
      <c r="B46" s="79" t="s">
        <v>56</v>
      </c>
      <c r="C46" s="80">
        <v>0.0056</v>
      </c>
      <c r="D46" s="81">
        <v>4470.61</v>
      </c>
      <c r="E46" s="81">
        <v>70.68</v>
      </c>
      <c r="F46" s="122">
        <v>0.016</v>
      </c>
    </row>
    <row r="47">
      <c r="A47" s="78" t="s">
        <v>82</v>
      </c>
      <c r="B47" s="79" t="s">
        <v>56</v>
      </c>
      <c r="C47" s="80">
        <v>0.0091</v>
      </c>
      <c r="D47" s="81">
        <v>7306.63</v>
      </c>
      <c r="E47" s="81">
        <v>-702.02</v>
      </c>
      <c r="F47" s="123">
        <v>-0.0877</v>
      </c>
    </row>
    <row r="48">
      <c r="A48" s="78" t="s">
        <v>86</v>
      </c>
      <c r="B48" s="79" t="s">
        <v>56</v>
      </c>
      <c r="C48" s="80">
        <v>0.0043</v>
      </c>
      <c r="D48" s="81">
        <v>3466.97</v>
      </c>
      <c r="E48" s="81">
        <v>-541.93</v>
      </c>
      <c r="F48" s="124">
        <v>-0.1352</v>
      </c>
    </row>
    <row r="49">
      <c r="A49" s="78" t="s">
        <v>101</v>
      </c>
      <c r="B49" s="79" t="s">
        <v>56</v>
      </c>
      <c r="C49" s="80">
        <v>0.0046</v>
      </c>
      <c r="D49" s="81">
        <v>3737.7</v>
      </c>
      <c r="E49" s="81">
        <v>-275.95</v>
      </c>
      <c r="F49" s="125">
        <v>-0.0688</v>
      </c>
    </row>
    <row r="50">
      <c r="A50" s="78" t="s">
        <v>103</v>
      </c>
      <c r="B50" s="79" t="s">
        <v>56</v>
      </c>
      <c r="C50" s="80">
        <v>0.0068</v>
      </c>
      <c r="D50" s="81">
        <v>5507.13</v>
      </c>
      <c r="E50" s="81">
        <v>178.2</v>
      </c>
      <c r="F50" s="126">
        <v>0.0334</v>
      </c>
    </row>
    <row r="51">
      <c r="A51" s="78" t="s">
        <v>110</v>
      </c>
      <c r="B51" s="79" t="s">
        <v>56</v>
      </c>
      <c r="C51" s="80">
        <v>0.0068</v>
      </c>
      <c r="D51" s="81">
        <v>5471.09</v>
      </c>
      <c r="E51" s="81">
        <v>133.53</v>
      </c>
      <c r="F51" s="127">
        <v>0.025</v>
      </c>
    </row>
    <row r="52">
      <c r="A52" s="78" t="s">
        <v>111</v>
      </c>
      <c r="B52" s="79" t="s">
        <v>56</v>
      </c>
      <c r="C52" s="80">
        <v>0.0065</v>
      </c>
      <c r="D52" s="81">
        <v>5244.2</v>
      </c>
      <c r="E52" s="81">
        <v>-253.86</v>
      </c>
      <c r="F52" s="128">
        <v>-0.0462</v>
      </c>
    </row>
    <row r="53">
      <c r="A53" s="78" t="s">
        <v>64</v>
      </c>
      <c r="B53" s="79" t="s">
        <v>58</v>
      </c>
      <c r="C53" s="80">
        <v>0.0121</v>
      </c>
      <c r="D53" s="81">
        <v>9739.28</v>
      </c>
      <c r="E53" s="81">
        <v>1739.39</v>
      </c>
      <c r="F53" s="129">
        <v>0.2174</v>
      </c>
    </row>
    <row r="54">
      <c r="A54" s="78" t="s">
        <v>66</v>
      </c>
      <c r="B54" s="79" t="s">
        <v>58</v>
      </c>
      <c r="C54" s="80">
        <v>0.0165</v>
      </c>
      <c r="D54" s="81">
        <v>13275.84</v>
      </c>
      <c r="E54" s="81">
        <v>5275.88</v>
      </c>
      <c r="F54" s="130">
        <v>0.6594</v>
      </c>
    </row>
    <row r="55">
      <c r="A55" s="78" t="s">
        <v>99</v>
      </c>
      <c r="B55" s="79" t="s">
        <v>58</v>
      </c>
      <c r="C55" s="80">
        <v>0.0104</v>
      </c>
      <c r="D55" s="81">
        <v>8373.18</v>
      </c>
      <c r="E55" s="81">
        <v>373.3</v>
      </c>
      <c r="F55" s="111">
        <v>0.0466</v>
      </c>
    </row>
    <row r="56">
      <c r="A56" s="78" t="s">
        <v>107</v>
      </c>
      <c r="B56" s="79" t="s">
        <v>58</v>
      </c>
      <c r="C56" s="80">
        <v>0.0093</v>
      </c>
      <c r="D56" s="81">
        <v>7495.24</v>
      </c>
      <c r="E56" s="81">
        <v>-504.76</v>
      </c>
      <c r="F56" s="131">
        <v>-0.0631</v>
      </c>
    </row>
    <row r="57">
      <c r="A57" s="78" t="s">
        <v>112</v>
      </c>
      <c r="B57" s="79" t="s">
        <v>58</v>
      </c>
      <c r="C57" s="80">
        <v>0.0109</v>
      </c>
      <c r="D57" s="81">
        <v>8766.66</v>
      </c>
      <c r="E57" s="81">
        <v>766.72</v>
      </c>
      <c r="F57" s="96">
        <v>0.0958</v>
      </c>
    </row>
    <row r="58">
      <c r="A58" s="78" t="s">
        <v>121</v>
      </c>
      <c r="B58" s="79" t="s">
        <v>122</v>
      </c>
      <c r="C58" s="80">
        <v>0.0103</v>
      </c>
      <c r="D58" s="81">
        <v>8255.23</v>
      </c>
      <c r="E58" s="81">
        <v>255.27</v>
      </c>
      <c r="F58" s="132">
        <v>0.0319</v>
      </c>
    </row>
    <row r="59">
      <c r="A59" s="78" t="s">
        <v>123</v>
      </c>
      <c r="B59" s="79" t="s">
        <v>122</v>
      </c>
      <c r="C59" s="80">
        <v>0.0096</v>
      </c>
      <c r="D59" s="81">
        <v>7764.74</v>
      </c>
      <c r="E59" s="81">
        <v>-1721.8</v>
      </c>
      <c r="F59" s="133">
        <v>-0.1815</v>
      </c>
    </row>
    <row r="60">
      <c r="A60" s="78" t="s">
        <v>124</v>
      </c>
      <c r="B60" s="79" t="s">
        <v>122</v>
      </c>
      <c r="C60" s="80">
        <v>0.0104</v>
      </c>
      <c r="D60" s="81">
        <v>8332.96</v>
      </c>
      <c r="E60" s="81">
        <v>333.12</v>
      </c>
      <c r="F60" s="134">
        <v>0.0416</v>
      </c>
    </row>
    <row r="61">
      <c r="A61" s="78" t="s">
        <v>125</v>
      </c>
      <c r="B61" s="79" t="s">
        <v>126</v>
      </c>
      <c r="C61" s="80">
        <v>0.0158</v>
      </c>
      <c r="D61" s="81">
        <v>12750.06</v>
      </c>
      <c r="E61" s="81">
        <v>517.09</v>
      </c>
      <c r="F61" s="134">
        <v>0.0422</v>
      </c>
    </row>
    <row r="62">
      <c r="A62" s="78" t="s">
        <v>127</v>
      </c>
      <c r="B62" s="79" t="s">
        <v>126</v>
      </c>
      <c r="C62" s="80">
        <v>0.0145</v>
      </c>
      <c r="D62" s="81">
        <v>11649.91</v>
      </c>
      <c r="E62" s="81">
        <v>-582.83</v>
      </c>
      <c r="F62" s="135">
        <v>-0.0477</v>
      </c>
    </row>
    <row r="63">
      <c r="A63" s="78" t="s">
        <v>128</v>
      </c>
      <c r="B63" s="79" t="s">
        <v>126</v>
      </c>
      <c r="C63" s="80">
        <v>0.0153</v>
      </c>
      <c r="D63" s="81">
        <v>12318.74</v>
      </c>
      <c r="E63" s="81">
        <v>85.75</v>
      </c>
      <c r="F63" s="136">
        <v>0.007</v>
      </c>
    </row>
    <row r="64">
      <c r="A64" s="137" t="s">
        <v>129</v>
      </c>
      <c r="B64" s="138" t="s">
        <v>126</v>
      </c>
      <c r="C64" s="80">
        <v>0.02</v>
      </c>
      <c r="D64" s="81">
        <v>16132.25</v>
      </c>
      <c r="E64" s="81">
        <v>-177.75</v>
      </c>
      <c r="F64" s="80">
        <v>-0.0109</v>
      </c>
    </row>
    <row r="65">
      <c r="A65" s="137" t="s">
        <v>130</v>
      </c>
      <c r="B65" s="138" t="s">
        <v>126</v>
      </c>
      <c r="C65" s="80">
        <v>0.0196</v>
      </c>
      <c r="D65" s="81">
        <v>15791.29</v>
      </c>
      <c r="E65" s="81">
        <v>-535.69</v>
      </c>
      <c r="F65" s="80">
        <v>-0.0329</v>
      </c>
    </row>
    <row r="66">
      <c r="A66" s="137" t="s">
        <v>131</v>
      </c>
      <c r="B66" s="138" t="s">
        <v>126</v>
      </c>
      <c r="C66" s="80">
        <v>0.0148</v>
      </c>
      <c r="D66" s="81">
        <v>11944.84</v>
      </c>
      <c r="E66" s="81">
        <v>-288.01</v>
      </c>
      <c r="F66" s="80">
        <v>-0.0236</v>
      </c>
    </row>
    <row r="67">
      <c r="A67" s="139" t="s">
        <v>40</v>
      </c>
      <c r="B67" s="139" t="s">
        <v>40</v>
      </c>
      <c r="C67" s="140">
        <v>0.3317</v>
      </c>
      <c r="D67" s="141">
        <f>B70*B71</f>
        <v>261442.0046</v>
      </c>
    </row>
    <row r="70">
      <c r="A70" s="139" t="s">
        <v>132</v>
      </c>
      <c r="B70" s="139">
        <v>649.71</v>
      </c>
    </row>
    <row r="71">
      <c r="A71" s="139" t="s">
        <v>133</v>
      </c>
      <c r="B71" s="139">
        <v>402.398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1.57"/>
    <col customWidth="1" min="9" max="26" width="12.29"/>
  </cols>
  <sheetData>
    <row r="1" ht="15.75" customHeight="1">
      <c r="A1" s="142"/>
      <c r="B1" s="143" t="s">
        <v>134</v>
      </c>
      <c r="C1" s="143" t="s">
        <v>135</v>
      </c>
      <c r="D1" s="143" t="s">
        <v>34</v>
      </c>
      <c r="E1" s="143" t="s">
        <v>35</v>
      </c>
      <c r="F1" s="143" t="s">
        <v>36</v>
      </c>
      <c r="G1" s="143" t="s">
        <v>37</v>
      </c>
      <c r="H1" s="143" t="s">
        <v>136</v>
      </c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ht="15.75" customHeight="1">
      <c r="A2" s="145">
        <v>1.0</v>
      </c>
      <c r="B2" s="146" t="s">
        <v>41</v>
      </c>
      <c r="C2" s="147">
        <v>-25.7</v>
      </c>
      <c r="D2" s="147">
        <v>0.146</v>
      </c>
      <c r="E2" s="147">
        <v>-0.101</v>
      </c>
      <c r="F2" s="147">
        <v>0.123</v>
      </c>
      <c r="G2" s="147">
        <v>0.367</v>
      </c>
      <c r="H2" s="147">
        <v>25.3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15.75" customHeight="1">
      <c r="A3" s="148">
        <v>2.0</v>
      </c>
      <c r="B3" s="149" t="s">
        <v>43</v>
      </c>
      <c r="C3" s="150">
        <v>80.1</v>
      </c>
      <c r="D3" s="150">
        <v>1.385</v>
      </c>
      <c r="E3" s="150">
        <v>-0.919</v>
      </c>
      <c r="F3" s="150">
        <v>-1.328</v>
      </c>
      <c r="G3" s="150">
        <v>-0.005</v>
      </c>
      <c r="H3" s="150">
        <v>25.1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ht="15.75" customHeight="1">
      <c r="A4" s="148">
        <v>3.0</v>
      </c>
      <c r="B4" s="149" t="s">
        <v>45</v>
      </c>
      <c r="C4" s="150">
        <v>-56.7</v>
      </c>
      <c r="D4" s="150">
        <v>0.649</v>
      </c>
      <c r="E4" s="150">
        <v>0.68</v>
      </c>
      <c r="F4" s="150">
        <v>-0.548</v>
      </c>
      <c r="G4" s="150">
        <v>0.372</v>
      </c>
      <c r="H4" s="150">
        <v>25.4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ht="15.75" customHeight="1">
      <c r="A5" s="148">
        <v>4.0</v>
      </c>
      <c r="B5" s="149" t="s">
        <v>47</v>
      </c>
      <c r="C5" s="150">
        <v>-50.5</v>
      </c>
      <c r="D5" s="150">
        <v>0.679</v>
      </c>
      <c r="E5" s="150">
        <v>1.071</v>
      </c>
      <c r="F5" s="150">
        <v>-0.478</v>
      </c>
      <c r="G5" s="150">
        <v>0.218</v>
      </c>
      <c r="H5" s="150">
        <v>30.7</v>
      </c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ht="15.75" customHeight="1">
      <c r="A6" s="148">
        <v>5.0</v>
      </c>
      <c r="B6" s="149" t="s">
        <v>49</v>
      </c>
      <c r="C6" s="150">
        <v>19.5</v>
      </c>
      <c r="D6" s="150">
        <v>1.214</v>
      </c>
      <c r="E6" s="150">
        <v>-0.703</v>
      </c>
      <c r="F6" s="150">
        <v>-1.395</v>
      </c>
      <c r="G6" s="150">
        <v>0.004</v>
      </c>
      <c r="H6" s="150">
        <v>24.6</v>
      </c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ht="15.75" customHeight="1">
      <c r="A7" s="148">
        <v>6.0</v>
      </c>
      <c r="B7" s="149" t="s">
        <v>51</v>
      </c>
      <c r="C7" s="150">
        <v>22.9</v>
      </c>
      <c r="D7" s="150">
        <v>0.85</v>
      </c>
      <c r="E7" s="150">
        <v>0.256</v>
      </c>
      <c r="F7" s="150">
        <v>-0.659</v>
      </c>
      <c r="G7" s="150">
        <v>-0.061</v>
      </c>
      <c r="H7" s="150">
        <v>27.0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ht="15.75" customHeight="1">
      <c r="A8" s="148">
        <v>7.0</v>
      </c>
      <c r="B8" s="149" t="s">
        <v>53</v>
      </c>
      <c r="C8" s="150">
        <v>54.5</v>
      </c>
      <c r="D8" s="150">
        <v>2.777</v>
      </c>
      <c r="E8" s="150">
        <v>-2.63</v>
      </c>
      <c r="F8" s="150">
        <v>7.152</v>
      </c>
      <c r="G8" s="150">
        <v>-5.54</v>
      </c>
      <c r="H8" s="150">
        <v>86.6</v>
      </c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ht="15.75" customHeight="1">
      <c r="A9" s="148">
        <v>8.0</v>
      </c>
      <c r="B9" s="149" t="s">
        <v>55</v>
      </c>
      <c r="C9" s="150">
        <v>17.2</v>
      </c>
      <c r="D9" s="150">
        <v>-0.196</v>
      </c>
      <c r="E9" s="150">
        <v>0.175</v>
      </c>
      <c r="F9" s="150">
        <v>-0.837</v>
      </c>
      <c r="G9" s="150">
        <v>0.233</v>
      </c>
      <c r="H9" s="150">
        <v>20.8</v>
      </c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ht="15.75" customHeight="1">
      <c r="A10" s="148">
        <v>9.0</v>
      </c>
      <c r="B10" s="149" t="s">
        <v>57</v>
      </c>
      <c r="C10" s="150">
        <v>-46.0</v>
      </c>
      <c r="D10" s="150">
        <v>1.65</v>
      </c>
      <c r="E10" s="150">
        <v>0.683</v>
      </c>
      <c r="F10" s="150">
        <v>-0.967</v>
      </c>
      <c r="G10" s="150">
        <v>0.534</v>
      </c>
      <c r="H10" s="150">
        <v>24.9</v>
      </c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ht="15.75" customHeight="1">
      <c r="A11" s="148">
        <v>10.0</v>
      </c>
      <c r="B11" s="149" t="s">
        <v>59</v>
      </c>
      <c r="C11" s="150">
        <v>-85.4</v>
      </c>
      <c r="D11" s="150">
        <v>1.068</v>
      </c>
      <c r="E11" s="150">
        <v>0.537</v>
      </c>
      <c r="F11" s="150">
        <v>0.874</v>
      </c>
      <c r="G11" s="150">
        <v>-0.997</v>
      </c>
      <c r="H11" s="150">
        <v>37.7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ht="15.75" customHeight="1">
      <c r="A12" s="148">
        <v>11.0</v>
      </c>
      <c r="B12" s="149" t="s">
        <v>61</v>
      </c>
      <c r="C12" s="150">
        <v>48.6</v>
      </c>
      <c r="D12" s="150">
        <v>3.276</v>
      </c>
      <c r="E12" s="150">
        <v>0.624</v>
      </c>
      <c r="F12" s="150">
        <v>7.641</v>
      </c>
      <c r="G12" s="150">
        <v>-2.32</v>
      </c>
      <c r="H12" s="150">
        <v>79.4</v>
      </c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ht="15.75" customHeight="1">
      <c r="A13" s="148">
        <v>12.0</v>
      </c>
      <c r="B13" s="149" t="s">
        <v>125</v>
      </c>
      <c r="C13" s="150">
        <v>-30.9</v>
      </c>
      <c r="D13" s="150">
        <v>1.641</v>
      </c>
      <c r="E13" s="150">
        <v>0.49</v>
      </c>
      <c r="F13" s="150">
        <v>-1.712</v>
      </c>
      <c r="G13" s="150">
        <v>0.396</v>
      </c>
      <c r="H13" s="150">
        <v>34.5</v>
      </c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ht="15.75" customHeight="1">
      <c r="A14" s="148">
        <v>13.0</v>
      </c>
      <c r="B14" s="149" t="s">
        <v>62</v>
      </c>
      <c r="C14" s="150">
        <v>15.9</v>
      </c>
      <c r="D14" s="150">
        <v>1.447</v>
      </c>
      <c r="E14" s="150">
        <v>-0.268</v>
      </c>
      <c r="F14" s="150">
        <v>2.956</v>
      </c>
      <c r="G14" s="150">
        <v>-0.298</v>
      </c>
      <c r="H14" s="150">
        <v>29.7</v>
      </c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ht="15.75" customHeight="1">
      <c r="A15" s="148">
        <v>14.0</v>
      </c>
      <c r="B15" s="149" t="s">
        <v>63</v>
      </c>
      <c r="C15" s="150">
        <v>163.0</v>
      </c>
      <c r="D15" s="150">
        <v>1.25</v>
      </c>
      <c r="E15" s="150">
        <v>-0.803</v>
      </c>
      <c r="F15" s="150">
        <v>6.63</v>
      </c>
      <c r="G15" s="150">
        <v>-2.335</v>
      </c>
      <c r="H15" s="150">
        <v>46.6</v>
      </c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ht="15.75" customHeight="1">
      <c r="A16" s="148">
        <v>15.0</v>
      </c>
      <c r="B16" s="149" t="s">
        <v>64</v>
      </c>
      <c r="C16" s="150">
        <v>90.3</v>
      </c>
      <c r="D16" s="150">
        <v>1.164</v>
      </c>
      <c r="E16" s="150">
        <v>0.274</v>
      </c>
      <c r="F16" s="150">
        <v>-0.187</v>
      </c>
      <c r="G16" s="150">
        <v>-0.446</v>
      </c>
      <c r="H16" s="150">
        <v>22.7</v>
      </c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ht="15.75" customHeight="1">
      <c r="A17" s="148">
        <v>16.0</v>
      </c>
      <c r="B17" s="149" t="s">
        <v>66</v>
      </c>
      <c r="C17" s="150">
        <v>110.2</v>
      </c>
      <c r="D17" s="150">
        <v>1.172</v>
      </c>
      <c r="E17" s="150">
        <v>1.257</v>
      </c>
      <c r="F17" s="150">
        <v>0.394</v>
      </c>
      <c r="G17" s="150">
        <v>-0.48</v>
      </c>
      <c r="H17" s="150">
        <v>28.0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ht="15.75" customHeight="1">
      <c r="A18" s="148">
        <v>17.0</v>
      </c>
      <c r="B18" s="149" t="s">
        <v>67</v>
      </c>
      <c r="C18" s="150">
        <v>133.4</v>
      </c>
      <c r="D18" s="150">
        <v>0.317</v>
      </c>
      <c r="E18" s="150">
        <v>-1.028</v>
      </c>
      <c r="F18" s="150">
        <v>1.474</v>
      </c>
      <c r="G18" s="150">
        <v>-2.872</v>
      </c>
      <c r="H18" s="150">
        <v>81.2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ht="15.75" customHeight="1">
      <c r="A19" s="148">
        <v>18.0</v>
      </c>
      <c r="B19" s="149" t="s">
        <v>68</v>
      </c>
      <c r="C19" s="150">
        <v>-35.8</v>
      </c>
      <c r="D19" s="150">
        <v>1.354</v>
      </c>
      <c r="E19" s="150">
        <v>0.812</v>
      </c>
      <c r="F19" s="150">
        <v>-1.266</v>
      </c>
      <c r="G19" s="150">
        <v>0.058</v>
      </c>
      <c r="H19" s="150">
        <v>25.5</v>
      </c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ht="15.75" customHeight="1">
      <c r="A20" s="148">
        <v>19.0</v>
      </c>
      <c r="B20" s="151" t="s">
        <v>69</v>
      </c>
      <c r="C20" s="150">
        <v>22.9</v>
      </c>
      <c r="D20" s="150">
        <v>0.802</v>
      </c>
      <c r="E20" s="150">
        <v>0.013</v>
      </c>
      <c r="F20" s="150">
        <v>0.568</v>
      </c>
      <c r="G20" s="150">
        <v>-0.188</v>
      </c>
      <c r="H20" s="150">
        <v>20.0</v>
      </c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 ht="15.75" customHeight="1">
      <c r="A21" s="148">
        <v>20.0</v>
      </c>
      <c r="B21" s="151" t="s">
        <v>70</v>
      </c>
      <c r="C21" s="150">
        <v>45.3</v>
      </c>
      <c r="D21" s="150">
        <v>0.962</v>
      </c>
      <c r="E21" s="150">
        <v>0.112</v>
      </c>
      <c r="F21" s="150">
        <v>0.34</v>
      </c>
      <c r="G21" s="150">
        <v>-0.022</v>
      </c>
      <c r="H21" s="150">
        <v>27.3</v>
      </c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ht="15.75" customHeight="1">
      <c r="A22" s="148">
        <v>21.0</v>
      </c>
      <c r="B22" s="151" t="s">
        <v>127</v>
      </c>
      <c r="C22" s="150">
        <v>1.0</v>
      </c>
      <c r="D22" s="150">
        <v>1.006</v>
      </c>
      <c r="E22" s="150">
        <v>0.668</v>
      </c>
      <c r="F22" s="150">
        <v>-0.888</v>
      </c>
      <c r="G22" s="150">
        <v>0.237</v>
      </c>
      <c r="H22" s="150">
        <v>17.2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ht="15.75" customHeight="1">
      <c r="A23" s="148">
        <v>22.0</v>
      </c>
      <c r="B23" s="151" t="s">
        <v>72</v>
      </c>
      <c r="C23" s="150">
        <v>53.2</v>
      </c>
      <c r="D23" s="150">
        <v>0.425</v>
      </c>
      <c r="E23" s="150">
        <v>0.126</v>
      </c>
      <c r="F23" s="150">
        <v>0.269</v>
      </c>
      <c r="G23" s="150">
        <v>0.126</v>
      </c>
      <c r="H23" s="150">
        <v>27.5</v>
      </c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ht="15.75" customHeight="1">
      <c r="A24" s="148">
        <v>23.0</v>
      </c>
      <c r="B24" s="151" t="s">
        <v>73</v>
      </c>
      <c r="C24" s="150">
        <v>-7.1</v>
      </c>
      <c r="D24" s="150">
        <v>-0.012</v>
      </c>
      <c r="E24" s="150">
        <v>0.474</v>
      </c>
      <c r="F24" s="150">
        <v>-0.061</v>
      </c>
      <c r="G24" s="150">
        <v>0.14</v>
      </c>
      <c r="H24" s="150">
        <v>21.0</v>
      </c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ht="15.75" customHeight="1">
      <c r="A25" s="148">
        <v>24.0</v>
      </c>
      <c r="B25" s="151" t="s">
        <v>76</v>
      </c>
      <c r="C25" s="150">
        <v>-12.9</v>
      </c>
      <c r="D25" s="150">
        <v>1.456</v>
      </c>
      <c r="E25" s="150">
        <v>1.223</v>
      </c>
      <c r="F25" s="150">
        <v>0.218</v>
      </c>
      <c r="G25" s="150">
        <v>1.889</v>
      </c>
      <c r="H25" s="150">
        <v>26.6</v>
      </c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ht="15.75" customHeight="1">
      <c r="A26" s="148">
        <v>25.0</v>
      </c>
      <c r="B26" s="151" t="s">
        <v>77</v>
      </c>
      <c r="C26" s="150">
        <v>22.8</v>
      </c>
      <c r="D26" s="150">
        <v>1.051</v>
      </c>
      <c r="E26" s="150">
        <v>0.122</v>
      </c>
      <c r="F26" s="150">
        <v>0.378</v>
      </c>
      <c r="G26" s="150">
        <v>0.019</v>
      </c>
      <c r="H26" s="150">
        <v>21.4</v>
      </c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ht="15.75" customHeight="1">
      <c r="A27" s="148">
        <v>26.0</v>
      </c>
      <c r="B27" s="151" t="s">
        <v>78</v>
      </c>
      <c r="C27" s="150">
        <v>-9.4</v>
      </c>
      <c r="D27" s="150">
        <v>2.061</v>
      </c>
      <c r="E27" s="150">
        <v>0.815</v>
      </c>
      <c r="F27" s="150">
        <v>-1.328</v>
      </c>
      <c r="G27" s="150">
        <v>-0.322</v>
      </c>
      <c r="H27" s="150">
        <v>30.9</v>
      </c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ht="15.75" customHeight="1">
      <c r="A28" s="148">
        <v>27.0</v>
      </c>
      <c r="B28" s="151" t="s">
        <v>79</v>
      </c>
      <c r="C28" s="150">
        <v>-68.6</v>
      </c>
      <c r="D28" s="150">
        <v>2.192</v>
      </c>
      <c r="E28" s="150">
        <v>0.11</v>
      </c>
      <c r="F28" s="150">
        <v>6.28</v>
      </c>
      <c r="G28" s="150">
        <v>-1.419</v>
      </c>
      <c r="H28" s="150">
        <v>90.2</v>
      </c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ht="15.75" customHeight="1">
      <c r="A29" s="148">
        <v>28.0</v>
      </c>
      <c r="B29" s="151" t="s">
        <v>81</v>
      </c>
      <c r="C29" s="150">
        <v>236.0</v>
      </c>
      <c r="D29" s="150">
        <v>2.058</v>
      </c>
      <c r="E29" s="150">
        <v>0.638</v>
      </c>
      <c r="F29" s="150">
        <v>8.047</v>
      </c>
      <c r="G29" s="150">
        <v>-4.9</v>
      </c>
      <c r="H29" s="150">
        <v>76.3</v>
      </c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ht="15.75" customHeight="1">
      <c r="A30" s="148">
        <v>29.0</v>
      </c>
      <c r="B30" s="151" t="s">
        <v>82</v>
      </c>
      <c r="C30" s="150">
        <v>-6.0</v>
      </c>
      <c r="D30" s="150">
        <v>0.71</v>
      </c>
      <c r="E30" s="150">
        <v>0.098</v>
      </c>
      <c r="F30" s="150">
        <v>-1.539</v>
      </c>
      <c r="G30" s="150">
        <v>0.041</v>
      </c>
      <c r="H30" s="150">
        <v>35.3</v>
      </c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ht="15.75" customHeight="1">
      <c r="A31" s="148">
        <v>30.0</v>
      </c>
      <c r="B31" s="151" t="s">
        <v>83</v>
      </c>
      <c r="C31" s="150">
        <v>53.0</v>
      </c>
      <c r="D31" s="150">
        <v>1.179</v>
      </c>
      <c r="E31" s="150">
        <v>0.182</v>
      </c>
      <c r="F31" s="150">
        <v>-1.001</v>
      </c>
      <c r="G31" s="150">
        <v>0.982</v>
      </c>
      <c r="H31" s="150">
        <v>30.0</v>
      </c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ht="15.75" customHeight="1">
      <c r="A32" s="148">
        <v>31.0</v>
      </c>
      <c r="B32" s="151" t="s">
        <v>84</v>
      </c>
      <c r="C32" s="150">
        <v>-2.3</v>
      </c>
      <c r="D32" s="150">
        <v>0.994</v>
      </c>
      <c r="E32" s="150">
        <v>0.374</v>
      </c>
      <c r="F32" s="150">
        <v>-1.442</v>
      </c>
      <c r="G32" s="150">
        <v>1.308</v>
      </c>
      <c r="H32" s="150">
        <v>21.2</v>
      </c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ht="15.75" customHeight="1">
      <c r="A33" s="148">
        <v>32.0</v>
      </c>
      <c r="B33" s="151" t="s">
        <v>85</v>
      </c>
      <c r="C33" s="150">
        <v>48.8</v>
      </c>
      <c r="D33" s="150">
        <v>1.382</v>
      </c>
      <c r="E33" s="150">
        <v>0.246</v>
      </c>
      <c r="F33" s="150">
        <v>-1.236</v>
      </c>
      <c r="G33" s="150">
        <v>-0.415</v>
      </c>
      <c r="H33" s="150">
        <v>24.2</v>
      </c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ht="15.75" customHeight="1">
      <c r="A34" s="148">
        <v>33.0</v>
      </c>
      <c r="B34" s="151" t="s">
        <v>86</v>
      </c>
      <c r="C34" s="150">
        <v>-48.0</v>
      </c>
      <c r="D34" s="150">
        <v>0.422</v>
      </c>
      <c r="E34" s="150">
        <v>0.707</v>
      </c>
      <c r="F34" s="150">
        <v>0.036</v>
      </c>
      <c r="G34" s="150">
        <v>-0.301</v>
      </c>
      <c r="H34" s="150">
        <v>19.3</v>
      </c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ht="15.75" customHeight="1">
      <c r="A35" s="148">
        <v>34.0</v>
      </c>
      <c r="B35" s="151" t="s">
        <v>88</v>
      </c>
      <c r="C35" s="150">
        <v>67.0</v>
      </c>
      <c r="D35" s="150">
        <v>0.85</v>
      </c>
      <c r="E35" s="150">
        <v>-0.083</v>
      </c>
      <c r="F35" s="150">
        <v>-0.408</v>
      </c>
      <c r="G35" s="150">
        <v>0.134</v>
      </c>
      <c r="H35" s="150">
        <v>27.8</v>
      </c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ht="15.75" customHeight="1">
      <c r="A36" s="148">
        <v>35.0</v>
      </c>
      <c r="B36" s="151" t="s">
        <v>128</v>
      </c>
      <c r="C36" s="150">
        <v>53.9</v>
      </c>
      <c r="D36" s="150">
        <v>1.001</v>
      </c>
      <c r="E36" s="150">
        <v>0.197</v>
      </c>
      <c r="F36" s="150">
        <v>-0.377</v>
      </c>
      <c r="G36" s="150">
        <v>-0.193</v>
      </c>
      <c r="H36" s="150">
        <v>18.3</v>
      </c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ht="15.75" customHeight="1">
      <c r="A37" s="148">
        <v>36.0</v>
      </c>
      <c r="B37" s="151" t="s">
        <v>89</v>
      </c>
      <c r="C37" s="150">
        <v>41.3</v>
      </c>
      <c r="D37" s="150">
        <v>0.187</v>
      </c>
      <c r="E37" s="150">
        <v>0.075</v>
      </c>
      <c r="F37" s="150">
        <v>0.002</v>
      </c>
      <c r="G37" s="150">
        <v>-0.261</v>
      </c>
      <c r="H37" s="150">
        <v>21.1</v>
      </c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ht="15.75" customHeight="1">
      <c r="A38" s="148">
        <v>37.0</v>
      </c>
      <c r="B38" s="151" t="s">
        <v>90</v>
      </c>
      <c r="C38" s="150">
        <v>114.1</v>
      </c>
      <c r="D38" s="150">
        <v>2.178</v>
      </c>
      <c r="E38" s="150">
        <v>-1.946</v>
      </c>
      <c r="F38" s="150">
        <v>6.016</v>
      </c>
      <c r="G38" s="150">
        <v>-3.385</v>
      </c>
      <c r="H38" s="150">
        <v>78.3</v>
      </c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ht="15.75" customHeight="1">
      <c r="A39" s="148">
        <v>38.0</v>
      </c>
      <c r="B39" s="151" t="s">
        <v>91</v>
      </c>
      <c r="C39" s="150">
        <v>69.3</v>
      </c>
      <c r="D39" s="150">
        <v>2.24</v>
      </c>
      <c r="E39" s="150">
        <v>-0.073</v>
      </c>
      <c r="F39" s="150">
        <v>-1.012</v>
      </c>
      <c r="G39" s="150">
        <v>0.801</v>
      </c>
      <c r="H39" s="150">
        <v>52.3</v>
      </c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ht="15.75" customHeight="1">
      <c r="A40" s="148">
        <v>39.0</v>
      </c>
      <c r="B40" s="151" t="s">
        <v>92</v>
      </c>
      <c r="C40" s="150">
        <v>-0.6</v>
      </c>
      <c r="D40" s="150">
        <v>0.54</v>
      </c>
      <c r="E40" s="150">
        <v>0.624</v>
      </c>
      <c r="F40" s="150">
        <v>0.003</v>
      </c>
      <c r="G40" s="150">
        <v>-0.302</v>
      </c>
      <c r="H40" s="150">
        <v>19.1</v>
      </c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ht="15.75" customHeight="1">
      <c r="A41" s="148">
        <v>40.0</v>
      </c>
      <c r="B41" s="151" t="s">
        <v>121</v>
      </c>
      <c r="C41" s="150">
        <v>-257.9</v>
      </c>
      <c r="D41" s="150">
        <v>-1.537</v>
      </c>
      <c r="E41" s="150">
        <v>-6.841</v>
      </c>
      <c r="F41" s="150">
        <v>-0.805</v>
      </c>
      <c r="G41" s="150">
        <v>-9.247</v>
      </c>
      <c r="H41" s="150">
        <v>131.4</v>
      </c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ht="15.75" customHeight="1">
      <c r="A42" s="148">
        <v>41.0</v>
      </c>
      <c r="B42" s="151" t="s">
        <v>93</v>
      </c>
      <c r="C42" s="150">
        <v>-7.5</v>
      </c>
      <c r="D42" s="150">
        <v>1.353</v>
      </c>
      <c r="E42" s="150">
        <v>-0.102</v>
      </c>
      <c r="F42" s="150">
        <v>1.341</v>
      </c>
      <c r="G42" s="150">
        <v>0.731</v>
      </c>
      <c r="H42" s="150">
        <v>23.2</v>
      </c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ht="15.75" customHeight="1">
      <c r="A43" s="148">
        <v>42.0</v>
      </c>
      <c r="B43" s="151" t="s">
        <v>94</v>
      </c>
      <c r="C43" s="150">
        <v>-1.8</v>
      </c>
      <c r="D43" s="150">
        <v>1.719</v>
      </c>
      <c r="E43" s="150">
        <v>0.172</v>
      </c>
      <c r="F43" s="150">
        <v>0.79</v>
      </c>
      <c r="G43" s="150">
        <v>-1.427</v>
      </c>
      <c r="H43" s="150">
        <v>39.9</v>
      </c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ht="15.75" customHeight="1">
      <c r="A44" s="148">
        <v>43.0</v>
      </c>
      <c r="B44" s="151" t="s">
        <v>129</v>
      </c>
      <c r="C44" s="150">
        <v>-22.1</v>
      </c>
      <c r="D44" s="150">
        <v>1.644</v>
      </c>
      <c r="E44" s="150">
        <v>-0.05</v>
      </c>
      <c r="F44" s="150">
        <v>-1.822</v>
      </c>
      <c r="G44" s="150">
        <v>-0.105</v>
      </c>
      <c r="H44" s="150">
        <v>22.7</v>
      </c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ht="15.75" customHeight="1">
      <c r="A45" s="148">
        <v>44.0</v>
      </c>
      <c r="B45" s="151" t="s">
        <v>97</v>
      </c>
      <c r="C45" s="150">
        <v>59.3</v>
      </c>
      <c r="D45" s="150">
        <v>0.855</v>
      </c>
      <c r="E45" s="150">
        <v>-0.278</v>
      </c>
      <c r="F45" s="150">
        <v>2.9</v>
      </c>
      <c r="G45" s="150">
        <v>-0.495</v>
      </c>
      <c r="H45" s="150">
        <v>25.0</v>
      </c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ht="15.75" customHeight="1">
      <c r="A46" s="148">
        <v>45.0</v>
      </c>
      <c r="B46" s="151" t="s">
        <v>98</v>
      </c>
      <c r="C46" s="150">
        <v>57.8</v>
      </c>
      <c r="D46" s="150">
        <v>2.076</v>
      </c>
      <c r="E46" s="150">
        <v>0.802</v>
      </c>
      <c r="F46" s="150">
        <v>-1.569</v>
      </c>
      <c r="G46" s="150">
        <v>2.18</v>
      </c>
      <c r="H46" s="150">
        <v>49.3</v>
      </c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t="15.75" customHeight="1">
      <c r="A47" s="148">
        <v>46.0</v>
      </c>
      <c r="B47" s="151" t="s">
        <v>123</v>
      </c>
      <c r="C47" s="150">
        <v>-24.1</v>
      </c>
      <c r="D47" s="150">
        <v>1.054</v>
      </c>
      <c r="E47" s="150">
        <v>-1.765</v>
      </c>
      <c r="F47" s="150">
        <v>-0.21</v>
      </c>
      <c r="G47" s="150">
        <v>-0.611</v>
      </c>
      <c r="H47" s="150">
        <v>57.9</v>
      </c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ht="15.75" customHeight="1">
      <c r="A48" s="148">
        <v>47.0</v>
      </c>
      <c r="B48" s="151" t="s">
        <v>99</v>
      </c>
      <c r="C48" s="150">
        <v>34.2</v>
      </c>
      <c r="D48" s="150">
        <v>0.331</v>
      </c>
      <c r="E48" s="150">
        <v>0.203</v>
      </c>
      <c r="F48" s="150">
        <v>-1.053</v>
      </c>
      <c r="G48" s="150">
        <v>0.518</v>
      </c>
      <c r="H48" s="150">
        <v>15.4</v>
      </c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ht="15.75" customHeight="1">
      <c r="A49" s="148">
        <v>48.0</v>
      </c>
      <c r="B49" s="151" t="s">
        <v>100</v>
      </c>
      <c r="C49" s="150">
        <v>23.6</v>
      </c>
      <c r="D49" s="150">
        <v>0.523</v>
      </c>
      <c r="E49" s="150">
        <v>0.801</v>
      </c>
      <c r="F49" s="150">
        <v>0.508</v>
      </c>
      <c r="G49" s="150">
        <v>0.894</v>
      </c>
      <c r="H49" s="150">
        <v>22.4</v>
      </c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ht="15.75" customHeight="1">
      <c r="A50" s="148">
        <v>49.0</v>
      </c>
      <c r="B50" s="151" t="s">
        <v>124</v>
      </c>
      <c r="C50" s="150">
        <v>-29.4</v>
      </c>
      <c r="D50" s="150">
        <v>0.993</v>
      </c>
      <c r="E50" s="150">
        <v>-3.094</v>
      </c>
      <c r="F50" s="150">
        <v>0.088</v>
      </c>
      <c r="G50" s="150">
        <v>-1.32</v>
      </c>
      <c r="H50" s="150">
        <v>42.9</v>
      </c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ht="15.75" customHeight="1">
      <c r="A51" s="148">
        <v>50.0</v>
      </c>
      <c r="B51" s="151" t="s">
        <v>40</v>
      </c>
      <c r="C51" s="150">
        <v>0.0</v>
      </c>
      <c r="D51" s="150">
        <v>0.998</v>
      </c>
      <c r="E51" s="150">
        <v>-0.002</v>
      </c>
      <c r="F51" s="150">
        <v>0.002</v>
      </c>
      <c r="G51" s="150">
        <v>-0.004</v>
      </c>
      <c r="H51" s="150">
        <v>0.3</v>
      </c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ht="15.75" customHeight="1">
      <c r="A52" s="148">
        <v>51.0</v>
      </c>
      <c r="B52" s="151" t="s">
        <v>101</v>
      </c>
      <c r="C52" s="150">
        <v>-10.2</v>
      </c>
      <c r="D52" s="150">
        <v>0.806</v>
      </c>
      <c r="E52" s="150">
        <v>0.374</v>
      </c>
      <c r="F52" s="150">
        <v>-1.028</v>
      </c>
      <c r="G52" s="150">
        <v>0.401</v>
      </c>
      <c r="H52" s="150">
        <v>20.9</v>
      </c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ht="15.75" customHeight="1">
      <c r="A53" s="148">
        <v>52.0</v>
      </c>
      <c r="B53" s="151" t="s">
        <v>103</v>
      </c>
      <c r="C53" s="150">
        <v>34.9</v>
      </c>
      <c r="D53" s="150">
        <v>1.664</v>
      </c>
      <c r="E53" s="150">
        <v>0.288</v>
      </c>
      <c r="F53" s="150">
        <v>-0.906</v>
      </c>
      <c r="G53" s="150">
        <v>-0.698</v>
      </c>
      <c r="H53" s="150">
        <v>22.0</v>
      </c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ht="15.75" customHeight="1">
      <c r="A54" s="148">
        <v>53.0</v>
      </c>
      <c r="B54" s="151" t="s">
        <v>102</v>
      </c>
      <c r="C54" s="150">
        <v>18.6</v>
      </c>
      <c r="D54" s="150">
        <v>1.049</v>
      </c>
      <c r="E54" s="150">
        <v>0.544</v>
      </c>
      <c r="F54" s="150">
        <v>-0.229</v>
      </c>
      <c r="G54" s="150">
        <v>0.124</v>
      </c>
      <c r="H54" s="150">
        <v>32.7</v>
      </c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ht="15.75" customHeight="1">
      <c r="A55" s="148">
        <v>54.0</v>
      </c>
      <c r="B55" s="151" t="s">
        <v>105</v>
      </c>
      <c r="C55" s="150">
        <v>-9.6</v>
      </c>
      <c r="D55" s="150">
        <v>1.846</v>
      </c>
      <c r="E55" s="150">
        <v>-0.013</v>
      </c>
      <c r="F55" s="150">
        <v>-0.064</v>
      </c>
      <c r="G55" s="150">
        <v>0.115</v>
      </c>
      <c r="H55" s="150">
        <v>30.2</v>
      </c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ht="15.75" customHeight="1">
      <c r="A56" s="148">
        <v>55.0</v>
      </c>
      <c r="B56" s="151" t="s">
        <v>106</v>
      </c>
      <c r="C56" s="150">
        <v>55.5</v>
      </c>
      <c r="D56" s="150">
        <v>1.512</v>
      </c>
      <c r="E56" s="150">
        <v>-0.442</v>
      </c>
      <c r="F56" s="150">
        <v>1.614</v>
      </c>
      <c r="G56" s="150">
        <v>-0.72</v>
      </c>
      <c r="H56" s="150">
        <v>22.8</v>
      </c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ht="15.75" customHeight="1">
      <c r="A57" s="148">
        <v>56.0</v>
      </c>
      <c r="B57" s="151" t="s">
        <v>107</v>
      </c>
      <c r="C57" s="150">
        <v>2.2</v>
      </c>
      <c r="D57" s="150">
        <v>0.96</v>
      </c>
      <c r="E57" s="150">
        <v>0.506</v>
      </c>
      <c r="F57" s="150">
        <v>-1.465</v>
      </c>
      <c r="G57" s="150">
        <v>-0.189</v>
      </c>
      <c r="H57" s="150">
        <v>48.4</v>
      </c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ht="15.75" customHeight="1">
      <c r="A58" s="148">
        <v>57.0</v>
      </c>
      <c r="B58" s="151" t="s">
        <v>108</v>
      </c>
      <c r="C58" s="150">
        <v>-0.1</v>
      </c>
      <c r="D58" s="150">
        <v>0.84</v>
      </c>
      <c r="E58" s="150">
        <v>0.164</v>
      </c>
      <c r="F58" s="150">
        <v>-1.049</v>
      </c>
      <c r="G58" s="150">
        <v>1.292</v>
      </c>
      <c r="H58" s="150">
        <v>20.5</v>
      </c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ht="15.75" customHeight="1">
      <c r="A59" s="148">
        <v>58.0</v>
      </c>
      <c r="B59" s="151" t="s">
        <v>130</v>
      </c>
      <c r="C59" s="150">
        <v>20.8</v>
      </c>
      <c r="D59" s="150">
        <v>0.712</v>
      </c>
      <c r="E59" s="150">
        <v>-0.585</v>
      </c>
      <c r="F59" s="150">
        <v>-0.944</v>
      </c>
      <c r="G59" s="150">
        <v>0.85</v>
      </c>
      <c r="H59" s="150">
        <v>21.2</v>
      </c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ht="15.75" customHeight="1">
      <c r="A60" s="148">
        <v>59.0</v>
      </c>
      <c r="B60" s="151" t="s">
        <v>109</v>
      </c>
      <c r="C60" s="150">
        <v>129.5</v>
      </c>
      <c r="D60" s="150">
        <v>2.196</v>
      </c>
      <c r="E60" s="150">
        <v>-0.005</v>
      </c>
      <c r="F60" s="150">
        <v>3.703</v>
      </c>
      <c r="G60" s="150">
        <v>-0.463</v>
      </c>
      <c r="H60" s="150">
        <v>49.8</v>
      </c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ht="15.75" customHeight="1">
      <c r="A61" s="148">
        <v>60.0</v>
      </c>
      <c r="B61" s="151" t="s">
        <v>110</v>
      </c>
      <c r="C61" s="150">
        <v>18.3</v>
      </c>
      <c r="D61" s="150">
        <v>0.125</v>
      </c>
      <c r="E61" s="150">
        <v>0.248</v>
      </c>
      <c r="F61" s="150">
        <v>0.226</v>
      </c>
      <c r="G61" s="150">
        <v>0.364</v>
      </c>
      <c r="H61" s="150">
        <v>17.2</v>
      </c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ht="15.75" customHeight="1">
      <c r="A62" s="148">
        <v>61.0</v>
      </c>
      <c r="B62" s="151" t="s">
        <v>111</v>
      </c>
      <c r="C62" s="150">
        <v>8.1</v>
      </c>
      <c r="D62" s="150">
        <v>0.349</v>
      </c>
      <c r="E62" s="150">
        <v>0.357</v>
      </c>
      <c r="F62" s="150">
        <v>0.012</v>
      </c>
      <c r="G62" s="150">
        <v>0.471</v>
      </c>
      <c r="H62" s="150">
        <v>21.7</v>
      </c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ht="15.75" customHeight="1">
      <c r="A63" s="148">
        <v>62.0</v>
      </c>
      <c r="B63" s="151" t="s">
        <v>112</v>
      </c>
      <c r="C63" s="150">
        <v>51.9</v>
      </c>
      <c r="D63" s="150">
        <v>0.227</v>
      </c>
      <c r="E63" s="150">
        <v>-0.111</v>
      </c>
      <c r="F63" s="150">
        <v>-0.831</v>
      </c>
      <c r="G63" s="150">
        <v>-0.005</v>
      </c>
      <c r="H63" s="150">
        <v>17.8</v>
      </c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ht="15.75" customHeight="1">
      <c r="A64" s="148">
        <v>63.0</v>
      </c>
      <c r="B64" s="151" t="s">
        <v>131</v>
      </c>
      <c r="C64" s="150">
        <v>21.1</v>
      </c>
      <c r="D64" s="150">
        <v>1.067</v>
      </c>
      <c r="E64" s="150">
        <v>0.509</v>
      </c>
      <c r="F64" s="150">
        <v>-0.498</v>
      </c>
      <c r="G64" s="150">
        <v>0.101</v>
      </c>
      <c r="H64" s="150">
        <v>20.8</v>
      </c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ht="15.75" customHeight="1">
      <c r="A65" s="148">
        <v>64.0</v>
      </c>
      <c r="B65" s="151" t="s">
        <v>113</v>
      </c>
      <c r="C65" s="150">
        <v>-46.0</v>
      </c>
      <c r="D65" s="150">
        <v>1.231</v>
      </c>
      <c r="E65" s="150">
        <v>0.558</v>
      </c>
      <c r="F65" s="150">
        <v>-0.564</v>
      </c>
      <c r="G65" s="150">
        <v>0.741</v>
      </c>
      <c r="H65" s="150">
        <v>22.2</v>
      </c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ht="15.75" customHeight="1">
      <c r="A66" s="148">
        <v>65.0</v>
      </c>
      <c r="B66" s="152" t="s">
        <v>114</v>
      </c>
      <c r="C66" s="152">
        <v>-0.0015</v>
      </c>
      <c r="D66" s="152">
        <v>1.3357</v>
      </c>
      <c r="E66" s="152">
        <v>-0.2139</v>
      </c>
      <c r="F66" s="152">
        <v>-0.0164</v>
      </c>
      <c r="G66" s="152">
        <v>0.2497</v>
      </c>
      <c r="H66" s="152">
        <v>0.3732</v>
      </c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ht="15.75" customHeight="1">
      <c r="A67" s="153">
        <v>66.0</v>
      </c>
      <c r="B67" s="154" t="s">
        <v>40</v>
      </c>
      <c r="C67" s="155">
        <v>0.0</v>
      </c>
      <c r="D67" s="155">
        <v>0.998</v>
      </c>
      <c r="E67" s="155">
        <v>-0.002</v>
      </c>
      <c r="F67" s="155">
        <v>0.002</v>
      </c>
      <c r="G67" s="155">
        <v>-0.004</v>
      </c>
      <c r="H67" s="155">
        <v>0.3</v>
      </c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ht="15.75" customHeight="1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ht="15.75" customHeight="1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ht="15.75" customHeight="1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ht="15.75" customHeight="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ht="15.75" customHeight="1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ht="15.75" customHeight="1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ht="15.75" customHeight="1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ht="15.75" customHeight="1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ht="15.75" customHeight="1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ht="15.75" customHeight="1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ht="15.75" customHeight="1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ht="15.75" customHeight="1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ht="15.75" customHeight="1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ht="15.75" customHeight="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ht="15.75" customHeight="1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ht="15.75" customHeight="1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ht="15.75" customHeight="1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ht="15.75" customHeight="1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ht="15.75" customHeight="1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ht="15.75" customHeight="1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ht="15.75" customHeight="1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ht="15.75" customHeight="1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ht="15.75" customHeight="1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ht="15.75" customHeight="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ht="15.75" customHeight="1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ht="15.75" customHeight="1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ht="15.75" customHeight="1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ht="15.75" customHeight="1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ht="15.75" customHeight="1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ht="15.75" customHeight="1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ht="15.75" customHeight="1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ht="15.75" customHeight="1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ht="15.75" customHeight="1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ht="15.75" customHeight="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ht="15.75" customHeight="1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ht="15.75" customHeight="1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ht="15.75" customHeight="1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ht="15.75" customHeight="1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ht="15.75" customHeight="1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ht="15.75" customHeight="1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ht="15.75" customHeight="1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ht="15.75" customHeight="1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ht="15.75" customHeight="1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ht="15.75" customHeight="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ht="15.75" customHeight="1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ht="15.75" customHeight="1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ht="15.75" customHeight="1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ht="15.75" customHeight="1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ht="15.75" customHeight="1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ht="15.75" customHeight="1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ht="15.75" customHeight="1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ht="15.75" customHeight="1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ht="15.75" customHeight="1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ht="15.75" customHeight="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ht="15.75" customHeight="1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ht="15.75" customHeight="1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ht="15.75" customHeight="1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ht="15.75" customHeight="1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ht="15.75" customHeight="1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ht="15.75" customHeight="1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ht="15.75" customHeight="1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ht="15.75" customHeight="1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ht="15.75" customHeight="1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ht="15.75" customHeight="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ht="15.75" customHeight="1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ht="15.75" customHeight="1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ht="15.75" customHeight="1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ht="15.75" customHeight="1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ht="15.75" customHeight="1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ht="15.75" customHeight="1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ht="15.75" customHeight="1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ht="15.75" customHeight="1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ht="15.75" customHeight="1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ht="15.75" customHeight="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ht="15.75" customHeight="1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ht="15.75" customHeight="1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ht="15.75" customHeight="1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ht="15.75" customHeight="1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ht="15.75" customHeight="1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ht="15.75" customHeight="1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ht="15.75" customHeight="1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ht="15.75" customHeight="1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ht="15.75" customHeight="1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ht="15.75" customHeight="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ht="15.75" customHeight="1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ht="15.75" customHeight="1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ht="15.75" customHeight="1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ht="15.75" customHeight="1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ht="15.75" customHeight="1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ht="15.75" customHeight="1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ht="15.75" customHeight="1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ht="15.75" customHeight="1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ht="15.75" customHeight="1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ht="15.75" customHeight="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ht="15.75" customHeight="1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ht="15.75" customHeight="1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ht="15.75" customHeight="1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ht="15.75" customHeight="1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ht="15.75" customHeight="1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ht="15.75" customHeight="1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ht="15.75" customHeight="1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ht="15.75" customHeight="1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ht="15.75" customHeight="1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ht="15.75" customHeight="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ht="15.75" customHeight="1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ht="15.75" customHeight="1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ht="15.75" customHeight="1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ht="15.75" customHeight="1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ht="15.75" customHeight="1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ht="15.75" customHeight="1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ht="15.75" customHeight="1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ht="15.75" customHeight="1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ht="15.75" customHeight="1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ht="15.75" customHeight="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ht="15.75" customHeight="1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ht="15.75" customHeight="1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ht="15.75" customHeight="1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ht="15.75" customHeight="1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ht="15.75" customHeight="1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ht="15.75" customHeight="1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ht="15.75" customHeight="1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ht="15.75" customHeight="1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ht="15.75" customHeight="1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ht="15.75" customHeight="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ht="15.75" customHeight="1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ht="15.75" customHeight="1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ht="15.75" customHeight="1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ht="15.75" customHeight="1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ht="15.75" customHeight="1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ht="15.75" customHeight="1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ht="15.75" customHeight="1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ht="15.75" customHeight="1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ht="15.75" customHeight="1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ht="15.75" customHeight="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ht="15.75" customHeight="1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ht="15.75" customHeight="1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ht="15.75" customHeight="1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ht="15.75" customHeight="1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ht="15.75" customHeight="1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ht="15.75" customHeight="1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ht="15.75" customHeight="1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ht="15.75" customHeight="1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ht="15.75" customHeight="1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ht="15.75" customHeight="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ht="15.75" customHeight="1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ht="15.75" customHeight="1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ht="15.75" customHeight="1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ht="15.75" customHeight="1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ht="15.75" customHeight="1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ht="15.75" customHeight="1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ht="15.75" customHeight="1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ht="15.75" customHeight="1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ht="15.75" customHeight="1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ht="15.75" customHeight="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5.75" customHeight="1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ht="15.75" customHeight="1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 ht="15.75" customHeight="1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 ht="15.75" customHeight="1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 ht="15.75" customHeight="1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 ht="15.75" customHeight="1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 ht="15.75" customHeight="1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ht="15.75" customHeight="1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ht="15.75" customHeight="1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ht="15.75" customHeight="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ht="15.75" customHeight="1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ht="15.75" customHeight="1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ht="15.75" customHeight="1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 ht="15.75" customHeight="1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 ht="15.75" customHeight="1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 ht="15.75" customHeight="1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 ht="15.75" customHeight="1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 ht="15.75" customHeight="1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 ht="15.75" customHeight="1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 ht="15.75" customHeight="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 ht="15.75" customHeight="1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 ht="15.75" customHeight="1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ht="15.75" customHeight="1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ht="15.75" customHeight="1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ht="15.75" customHeight="1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ht="15.75" customHeight="1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ht="15.75" customHeight="1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ht="15.75" customHeight="1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ht="15.75" customHeight="1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ht="15.75" customHeight="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ht="15.75" customHeight="1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ht="15.75" customHeight="1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ht="15.75" customHeight="1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ht="15.75" customHeight="1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ht="15.75" customHeight="1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ht="15.75" customHeight="1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ht="15.75" customHeight="1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ht="15.75" customHeight="1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ht="15.75" customHeight="1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ht="15.75" customHeight="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ht="15.75" customHeight="1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ht="15.75" customHeight="1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ht="15.75" customHeight="1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ht="15.75" customHeight="1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ht="15.75" customHeight="1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ht="12.0" customHeight="1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ht="12.0" customHeight="1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ht="12.0" customHeight="1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ht="12.0" customHeight="1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ht="12.0" customHeight="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ht="12.0" customHeight="1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ht="12.0" customHeight="1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ht="12.0" customHeight="1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ht="12.0" customHeight="1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ht="12.0" customHeight="1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ht="12.0" customHeight="1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ht="12.0" customHeight="1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ht="12.0" customHeight="1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ht="12.0" customHeight="1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ht="12.0" customHeight="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ht="12.0" customHeight="1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ht="12.0" customHeight="1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ht="12.0" customHeight="1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ht="12.0" customHeight="1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ht="12.0" customHeight="1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ht="12.0" customHeight="1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ht="12.0" customHeight="1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ht="12.0" customHeight="1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ht="12.0" customHeight="1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ht="12.0" customHeight="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ht="12.0" customHeight="1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ht="12.0" customHeight="1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ht="12.0" customHeight="1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ht="12.0" customHeight="1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ht="12.0" customHeight="1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ht="12.0" customHeight="1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ht="12.0" customHeight="1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ht="12.0" customHeight="1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ht="12.0" customHeight="1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ht="12.0" customHeight="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ht="12.0" customHeight="1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ht="12.0" customHeight="1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ht="12.0" customHeight="1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ht="12.0" customHeight="1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ht="12.0" customHeight="1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ht="12.0" customHeight="1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ht="12.0" customHeight="1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ht="12.0" customHeight="1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ht="12.0" customHeight="1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ht="12.0" customHeight="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ht="12.0" customHeight="1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ht="12.0" customHeight="1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ht="12.0" customHeight="1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ht="12.0" customHeight="1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ht="12.0" customHeight="1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ht="12.0" customHeight="1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ht="12.0" customHeight="1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ht="12.0" customHeight="1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ht="12.0" customHeight="1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ht="12.0" customHeight="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ht="12.0" customHeight="1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ht="12.0" customHeight="1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ht="12.0" customHeight="1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ht="12.0" customHeight="1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ht="12.0" customHeight="1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ht="12.0" customHeight="1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ht="12.0" customHeight="1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ht="12.0" customHeight="1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ht="12.0" customHeight="1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ht="12.0" customHeight="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ht="12.0" customHeight="1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ht="12.0" customHeight="1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ht="12.0" customHeight="1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ht="12.0" customHeight="1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ht="12.0" customHeight="1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ht="12.0" customHeight="1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ht="12.0" customHeight="1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ht="12.0" customHeight="1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ht="12.0" customHeight="1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ht="12.0" customHeight="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ht="12.0" customHeight="1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ht="12.0" customHeight="1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ht="12.0" customHeight="1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ht="12.0" customHeight="1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ht="12.0" customHeight="1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ht="12.0" customHeight="1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ht="12.0" customHeight="1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ht="12.0" customHeight="1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ht="12.0" customHeight="1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ht="12.0" customHeight="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ht="12.0" customHeight="1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ht="12.0" customHeight="1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ht="12.0" customHeight="1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ht="12.0" customHeight="1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ht="12.0" customHeight="1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ht="12.0" customHeight="1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ht="12.0" customHeight="1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ht="12.0" customHeight="1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ht="12.0" customHeight="1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ht="12.0" customHeight="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ht="12.0" customHeight="1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ht="12.0" customHeight="1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ht="12.0" customHeight="1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ht="12.0" customHeight="1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ht="12.0" customHeight="1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ht="12.0" customHeight="1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ht="12.0" customHeight="1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ht="12.0" customHeight="1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ht="12.0" customHeight="1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ht="12.0" customHeight="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ht="12.0" customHeight="1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ht="12.0" customHeight="1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ht="12.0" customHeight="1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ht="12.0" customHeight="1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ht="12.0" customHeight="1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ht="12.0" customHeight="1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ht="12.0" customHeight="1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ht="12.0" customHeight="1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ht="12.0" customHeight="1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ht="12.0" customHeight="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ht="12.0" customHeight="1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ht="12.0" customHeight="1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ht="12.0" customHeight="1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ht="12.0" customHeight="1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ht="12.0" customHeight="1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ht="12.0" customHeight="1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ht="12.0" customHeight="1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ht="12.0" customHeight="1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ht="12.0" customHeight="1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ht="12.0" customHeight="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ht="12.0" customHeight="1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ht="12.0" customHeight="1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ht="12.0" customHeight="1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ht="12.0" customHeight="1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ht="12.0" customHeight="1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ht="12.0" customHeight="1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ht="12.0" customHeight="1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ht="12.0" customHeight="1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ht="12.0" customHeight="1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ht="12.0" customHeight="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ht="12.0" customHeight="1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ht="12.0" customHeight="1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ht="12.0" customHeight="1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ht="12.0" customHeight="1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ht="12.0" customHeight="1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ht="12.0" customHeight="1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ht="12.0" customHeight="1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ht="12.0" customHeight="1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ht="12.0" customHeight="1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ht="12.0" customHeight="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ht="12.0" customHeight="1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ht="12.0" customHeight="1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ht="12.0" customHeight="1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ht="12.0" customHeight="1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ht="12.0" customHeight="1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ht="12.0" customHeight="1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ht="12.0" customHeight="1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ht="12.0" customHeight="1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ht="12.0" customHeight="1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ht="12.0" customHeight="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ht="12.0" customHeight="1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ht="12.0" customHeight="1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ht="12.0" customHeight="1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ht="12.0" customHeight="1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ht="12.0" customHeight="1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ht="12.0" customHeight="1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ht="12.0" customHeight="1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ht="12.0" customHeight="1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ht="12.0" customHeight="1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ht="12.0" customHeight="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ht="12.0" customHeight="1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ht="12.0" customHeight="1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ht="12.0" customHeight="1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ht="12.0" customHeight="1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ht="12.0" customHeight="1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ht="12.0" customHeight="1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ht="12.0" customHeight="1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ht="12.0" customHeight="1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ht="12.0" customHeight="1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ht="12.0" customHeight="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ht="12.0" customHeight="1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ht="12.0" customHeight="1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ht="12.0" customHeight="1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ht="12.0" customHeight="1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ht="12.0" customHeight="1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ht="12.0" customHeight="1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ht="12.0" customHeight="1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ht="12.0" customHeight="1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ht="12.0" customHeight="1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ht="12.0" customHeight="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ht="12.0" customHeight="1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ht="12.0" customHeight="1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ht="12.0" customHeight="1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ht="12.0" customHeight="1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ht="12.0" customHeight="1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ht="12.0" customHeight="1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ht="12.0" customHeight="1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ht="12.0" customHeight="1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ht="12.0" customHeight="1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ht="12.0" customHeight="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ht="12.0" customHeight="1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ht="12.0" customHeight="1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ht="12.0" customHeight="1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ht="12.0" customHeight="1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ht="12.0" customHeight="1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ht="12.0" customHeight="1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ht="12.0" customHeight="1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ht="12.0" customHeight="1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ht="12.0" customHeight="1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ht="12.0" customHeight="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ht="12.0" customHeight="1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ht="12.0" customHeight="1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ht="12.0" customHeight="1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ht="12.0" customHeight="1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ht="12.0" customHeight="1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ht="12.0" customHeight="1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ht="12.0" customHeight="1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ht="12.0" customHeight="1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ht="12.0" customHeight="1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ht="12.0" customHeight="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ht="12.0" customHeight="1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ht="12.0" customHeight="1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ht="12.0" customHeight="1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ht="12.0" customHeight="1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ht="12.0" customHeight="1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ht="12.0" customHeight="1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ht="12.0" customHeight="1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ht="12.0" customHeight="1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ht="12.0" customHeight="1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ht="12.0" customHeight="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ht="12.0" customHeight="1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ht="12.0" customHeight="1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ht="12.0" customHeight="1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ht="12.0" customHeight="1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ht="12.0" customHeight="1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ht="12.0" customHeight="1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ht="12.0" customHeight="1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ht="12.0" customHeight="1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ht="12.0" customHeight="1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ht="12.0" customHeight="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ht="12.0" customHeight="1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ht="12.0" customHeight="1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ht="12.0" customHeight="1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ht="12.0" customHeight="1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ht="12.0" customHeight="1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ht="12.0" customHeight="1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ht="12.0" customHeight="1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ht="12.0" customHeight="1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ht="12.0" customHeight="1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ht="12.0" customHeight="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ht="12.0" customHeight="1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ht="12.0" customHeight="1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ht="12.0" customHeight="1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ht="12.0" customHeight="1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ht="12.0" customHeight="1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ht="12.0" customHeight="1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ht="12.0" customHeight="1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ht="12.0" customHeight="1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ht="12.0" customHeight="1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ht="12.0" customHeight="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ht="12.0" customHeight="1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ht="12.0" customHeight="1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ht="12.0" customHeight="1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ht="12.0" customHeight="1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ht="12.0" customHeight="1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ht="12.0" customHeight="1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ht="12.0" customHeight="1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ht="12.0" customHeight="1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ht="12.0" customHeight="1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ht="12.0" customHeight="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ht="12.0" customHeight="1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ht="12.0" customHeight="1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ht="12.0" customHeight="1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ht="12.0" customHeight="1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ht="12.0" customHeight="1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ht="12.0" customHeight="1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ht="12.0" customHeight="1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ht="12.0" customHeight="1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ht="12.0" customHeight="1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ht="12.0" customHeight="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ht="12.0" customHeight="1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ht="12.0" customHeight="1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ht="12.0" customHeight="1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ht="12.0" customHeight="1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ht="12.0" customHeight="1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ht="12.0" customHeight="1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ht="12.0" customHeight="1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ht="12.0" customHeight="1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ht="12.0" customHeight="1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ht="12.0" customHeight="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ht="12.0" customHeight="1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ht="12.0" customHeight="1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ht="12.0" customHeight="1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ht="12.0" customHeight="1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ht="12.0" customHeight="1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ht="12.0" customHeight="1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ht="12.0" customHeight="1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ht="12.0" customHeight="1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ht="12.0" customHeight="1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ht="12.0" customHeight="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ht="12.0" customHeight="1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ht="12.0" customHeight="1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ht="12.0" customHeight="1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ht="12.0" customHeight="1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ht="12.0" customHeight="1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ht="12.0" customHeight="1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ht="12.0" customHeight="1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ht="12.0" customHeight="1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ht="12.0" customHeight="1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ht="12.0" customHeight="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ht="12.0" customHeight="1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ht="12.0" customHeight="1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ht="12.0" customHeight="1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ht="12.0" customHeight="1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ht="12.0" customHeight="1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ht="12.0" customHeight="1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ht="12.0" customHeight="1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ht="12.0" customHeight="1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ht="12.0" customHeight="1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ht="12.0" customHeight="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ht="12.0" customHeight="1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ht="12.0" customHeight="1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ht="12.0" customHeight="1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ht="12.0" customHeight="1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ht="12.0" customHeight="1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ht="12.0" customHeight="1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ht="12.0" customHeight="1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ht="12.0" customHeight="1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ht="12.0" customHeight="1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ht="12.0" customHeight="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ht="12.0" customHeight="1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ht="12.0" customHeight="1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ht="12.0" customHeight="1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ht="12.0" customHeight="1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ht="12.0" customHeight="1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ht="12.0" customHeight="1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ht="12.0" customHeight="1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ht="12.0" customHeight="1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ht="12.0" customHeight="1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ht="12.0" customHeight="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ht="12.0" customHeight="1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ht="12.0" customHeight="1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ht="12.0" customHeight="1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ht="12.0" customHeight="1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ht="12.0" customHeight="1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ht="12.0" customHeight="1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ht="12.0" customHeight="1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ht="12.0" customHeight="1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ht="12.0" customHeight="1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ht="12.0" customHeight="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ht="12.0" customHeight="1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ht="12.0" customHeight="1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ht="12.0" customHeight="1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ht="12.0" customHeight="1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ht="12.0" customHeight="1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ht="12.0" customHeight="1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ht="12.0" customHeight="1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ht="12.0" customHeight="1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ht="12.0" customHeight="1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ht="12.0" customHeight="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ht="12.0" customHeight="1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ht="12.0" customHeight="1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ht="12.0" customHeight="1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ht="12.0" customHeight="1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ht="12.0" customHeight="1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ht="12.0" customHeight="1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ht="12.0" customHeight="1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ht="12.0" customHeight="1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ht="12.0" customHeight="1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ht="12.0" customHeight="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ht="12.0" customHeight="1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ht="12.0" customHeight="1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ht="12.0" customHeight="1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ht="12.0" customHeight="1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ht="12.0" customHeight="1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ht="12.0" customHeight="1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ht="12.0" customHeight="1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ht="12.0" customHeight="1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ht="12.0" customHeight="1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ht="12.0" customHeight="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ht="12.0" customHeight="1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ht="12.0" customHeight="1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ht="12.0" customHeight="1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ht="12.0" customHeight="1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ht="12.0" customHeight="1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ht="12.0" customHeight="1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ht="12.0" customHeight="1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ht="12.0" customHeight="1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ht="12.0" customHeight="1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ht="12.0" customHeight="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ht="12.0" customHeight="1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ht="12.0" customHeight="1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ht="12.0" customHeight="1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ht="12.0" customHeight="1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ht="12.0" customHeight="1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ht="12.0" customHeight="1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ht="12.0" customHeight="1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ht="12.0" customHeight="1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ht="12.0" customHeight="1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ht="12.0" customHeight="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ht="12.0" customHeight="1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ht="12.0" customHeight="1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ht="12.0" customHeight="1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ht="12.0" customHeight="1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ht="12.0" customHeight="1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ht="12.0" customHeight="1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ht="12.0" customHeight="1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ht="12.0" customHeight="1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ht="12.0" customHeight="1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ht="12.0" customHeight="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ht="12.0" customHeight="1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ht="12.0" customHeight="1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ht="12.0" customHeight="1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ht="12.0" customHeight="1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ht="12.0" customHeight="1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ht="12.0" customHeight="1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ht="12.0" customHeight="1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ht="12.0" customHeight="1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ht="12.0" customHeight="1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ht="12.0" customHeight="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ht="12.0" customHeight="1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ht="12.0" customHeight="1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ht="12.0" customHeight="1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ht="12.0" customHeight="1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ht="12.0" customHeight="1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ht="12.0" customHeight="1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ht="12.0" customHeight="1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ht="12.0" customHeight="1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ht="12.0" customHeight="1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ht="12.0" customHeight="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ht="12.0" customHeight="1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ht="12.0" customHeight="1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ht="12.0" customHeight="1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ht="12.0" customHeight="1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ht="12.0" customHeight="1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ht="12.0" customHeight="1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ht="12.0" customHeight="1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ht="12.0" customHeight="1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ht="12.0" customHeight="1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ht="12.0" customHeight="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ht="12.0" customHeight="1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ht="12.0" customHeight="1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ht="12.0" customHeight="1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ht="12.0" customHeight="1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ht="12.0" customHeight="1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ht="12.0" customHeight="1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ht="12.0" customHeight="1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ht="12.0" customHeight="1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ht="12.0" customHeight="1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ht="12.0" customHeight="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ht="12.0" customHeight="1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ht="12.0" customHeight="1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ht="12.0" customHeight="1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ht="12.0" customHeight="1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ht="12.0" customHeight="1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ht="12.0" customHeight="1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ht="12.0" customHeight="1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ht="12.0" customHeight="1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ht="12.0" customHeight="1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ht="12.0" customHeight="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ht="12.0" customHeight="1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ht="12.0" customHeight="1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ht="12.0" customHeight="1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ht="12.0" customHeight="1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ht="12.0" customHeight="1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ht="12.0" customHeight="1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ht="12.0" customHeight="1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ht="12.0" customHeight="1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ht="12.0" customHeight="1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ht="12.0" customHeight="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ht="12.0" customHeight="1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ht="12.0" customHeight="1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ht="12.0" customHeight="1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ht="12.0" customHeight="1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ht="12.0" customHeight="1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ht="12.0" customHeight="1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ht="12.0" customHeight="1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ht="12.0" customHeight="1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ht="12.0" customHeight="1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ht="12.0" customHeight="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ht="12.0" customHeight="1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ht="12.0" customHeight="1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ht="12.0" customHeight="1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ht="12.0" customHeight="1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ht="12.0" customHeight="1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ht="12.0" customHeight="1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ht="12.0" customHeight="1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ht="12.0" customHeight="1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ht="12.0" customHeight="1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ht="12.0" customHeight="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ht="12.0" customHeight="1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ht="12.0" customHeight="1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ht="12.0" customHeight="1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ht="12.0" customHeight="1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ht="12.0" customHeight="1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ht="12.0" customHeight="1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ht="12.0" customHeight="1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ht="12.0" customHeight="1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ht="12.0" customHeight="1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ht="12.0" customHeight="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ht="12.0" customHeight="1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ht="12.0" customHeight="1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ht="12.0" customHeight="1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ht="12.0" customHeight="1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ht="12.0" customHeight="1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ht="12.0" customHeight="1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ht="12.0" customHeight="1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ht="12.0" customHeight="1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ht="12.0" customHeight="1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ht="12.0" customHeight="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ht="12.0" customHeight="1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ht="12.0" customHeight="1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ht="12.0" customHeight="1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ht="12.0" customHeight="1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ht="12.0" customHeight="1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ht="12.0" customHeight="1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ht="12.0" customHeight="1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ht="12.0" customHeight="1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ht="12.0" customHeight="1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ht="12.0" customHeight="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ht="12.0" customHeight="1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ht="12.0" customHeight="1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ht="12.0" customHeight="1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ht="12.0" customHeight="1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ht="12.0" customHeight="1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ht="12.0" customHeight="1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ht="12.0" customHeight="1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ht="12.0" customHeight="1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ht="12.0" customHeight="1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ht="12.0" customHeight="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ht="12.0" customHeight="1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ht="12.0" customHeight="1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ht="12.0" customHeight="1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ht="12.0" customHeight="1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ht="12.0" customHeight="1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ht="12.0" customHeight="1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ht="12.0" customHeight="1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ht="12.0" customHeight="1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ht="12.0" customHeight="1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ht="12.0" customHeight="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ht="12.0" customHeight="1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ht="12.0" customHeight="1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ht="12.0" customHeight="1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ht="12.0" customHeight="1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ht="12.0" customHeight="1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ht="12.0" customHeight="1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ht="12.0" customHeight="1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ht="12.0" customHeight="1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ht="12.0" customHeight="1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ht="12.0" customHeight="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ht="12.0" customHeight="1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ht="12.0" customHeight="1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ht="12.0" customHeight="1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ht="12.0" customHeight="1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ht="12.0" customHeight="1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ht="12.0" customHeight="1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ht="12.0" customHeight="1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ht="12.0" customHeight="1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ht="12.0" customHeight="1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ht="12.0" customHeight="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ht="12.0" customHeight="1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ht="12.0" customHeight="1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ht="12.0" customHeight="1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ht="12.0" customHeight="1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ht="12.0" customHeight="1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ht="12.0" customHeight="1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ht="12.0" customHeight="1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ht="12.0" customHeight="1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ht="12.0" customHeight="1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ht="12.0" customHeight="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ht="12.0" customHeight="1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ht="12.0" customHeight="1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ht="12.0" customHeight="1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ht="12.0" customHeight="1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ht="12.0" customHeight="1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ht="12.0" customHeight="1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ht="12.0" customHeight="1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ht="12.0" customHeight="1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ht="12.0" customHeight="1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ht="12.0" customHeight="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ht="12.0" customHeight="1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ht="12.0" customHeight="1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ht="12.0" customHeight="1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ht="12.0" customHeight="1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ht="12.0" customHeight="1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ht="12.0" customHeight="1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ht="12.0" customHeight="1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ht="12.0" customHeight="1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ht="12.0" customHeight="1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ht="12.0" customHeight="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ht="12.0" customHeight="1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ht="12.0" customHeight="1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ht="12.0" customHeight="1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ht="12.0" customHeight="1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ht="12.0" customHeight="1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ht="12.0" customHeight="1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ht="12.0" customHeight="1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ht="12.0" customHeight="1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ht="12.0" customHeight="1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ht="12.0" customHeight="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ht="12.0" customHeight="1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ht="12.0" customHeight="1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ht="12.0" customHeight="1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ht="12.0" customHeight="1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ht="12.0" customHeight="1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ht="12.0" customHeight="1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ht="12.0" customHeight="1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ht="12.0" customHeight="1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ht="12.0" customHeight="1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ht="12.0" customHeight="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ht="12.0" customHeight="1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ht="12.0" customHeight="1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ht="12.0" customHeight="1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ht="12.0" customHeight="1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ht="12.0" customHeight="1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ht="12.0" customHeight="1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ht="12.0" customHeight="1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ht="12.0" customHeight="1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ht="12.0" customHeight="1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ht="12.0" customHeight="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ht="12.0" customHeight="1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ht="12.0" customHeight="1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ht="12.0" customHeight="1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ht="12.0" customHeight="1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ht="12.0" customHeight="1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ht="12.0" customHeight="1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ht="12.0" customHeight="1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ht="12.0" customHeight="1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ht="12.0" customHeight="1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ht="12.0" customHeight="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ht="12.0" customHeight="1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ht="12.0" customHeight="1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ht="12.0" customHeight="1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ht="12.0" customHeight="1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ht="12.0" customHeight="1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ht="12.0" customHeight="1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ht="12.0" customHeight="1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ht="12.0" customHeight="1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ht="12.0" customHeight="1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ht="12.0" customHeight="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ht="12.0" customHeight="1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ht="12.0" customHeight="1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ht="12.0" customHeight="1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ht="12.0" customHeight="1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ht="12.0" customHeight="1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ht="12.0" customHeight="1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ht="12.0" customHeight="1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ht="12.0" customHeight="1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ht="12.0" customHeight="1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ht="12.0" customHeight="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ht="12.0" customHeight="1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ht="12.0" customHeight="1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ht="12.0" customHeight="1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ht="12.0" customHeight="1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ht="12.0" customHeight="1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ht="12.0" customHeight="1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ht="12.0" customHeight="1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ht="12.0" customHeight="1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ht="12.0" customHeight="1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ht="12.0" customHeight="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ht="12.0" customHeight="1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ht="12.0" customHeight="1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ht="12.0" customHeight="1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ht="12.0" customHeight="1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ht="12.0" customHeight="1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ht="12.0" customHeight="1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ht="12.0" customHeight="1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ht="12.0" customHeight="1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ht="12.0" customHeight="1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ht="12.0" customHeight="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ht="12.0" customHeight="1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ht="12.0" customHeight="1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ht="12.0" customHeight="1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ht="12.0" customHeight="1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ht="12.0" customHeight="1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ht="12.0" customHeight="1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ht="12.0" customHeight="1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ht="12.0" customHeight="1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ht="12.0" customHeight="1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ht="12.0" customHeight="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ht="12.0" customHeight="1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ht="12.0" customHeight="1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ht="12.0" customHeight="1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ht="12.0" customHeight="1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ht="12.0" customHeight="1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ht="12.0" customHeight="1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ht="12.0" customHeight="1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ht="12.0" customHeight="1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ht="12.0" customHeight="1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ht="12.0" customHeight="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ht="12.0" customHeight="1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ht="12.0" customHeight="1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ht="12.0" customHeight="1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ht="12.0" customHeight="1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ht="12.0" customHeight="1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ht="12.0" customHeight="1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ht="12.0" customHeight="1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ht="12.0" customHeight="1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ht="12.0" customHeight="1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ht="12.0" customHeight="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ht="12.0" customHeight="1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ht="12.0" customHeight="1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ht="12.0" customHeight="1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ht="12.0" customHeight="1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ht="12.0" customHeight="1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ht="12.0" customHeight="1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ht="12.0" customHeight="1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ht="12.0" customHeight="1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ht="12.0" customHeight="1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ht="12.0" customHeight="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ht="12.0" customHeight="1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ht="12.0" customHeight="1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ht="12.0" customHeight="1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ht="12.0" customHeight="1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ht="12.0" customHeight="1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ht="12.0" customHeight="1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ht="12.0" customHeight="1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ht="12.0" customHeight="1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ht="12.0" customHeight="1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ht="12.0" customHeight="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ht="12.0" customHeight="1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ht="12.0" customHeight="1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ht="12.0" customHeight="1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ht="12.0" customHeight="1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ht="12.0" customHeight="1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ht="12.0" customHeight="1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ht="12.0" customHeight="1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ht="12.0" customHeight="1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ht="12.0" customHeight="1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ht="12.0" customHeight="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ht="12.0" customHeight="1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ht="12.0" customHeight="1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ht="12.0" customHeight="1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ht="12.0" customHeight="1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ht="12.0" customHeight="1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ht="12.0" customHeight="1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ht="12.0" customHeight="1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ht="12.0" customHeight="1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 ht="12.0" customHeight="1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0.43"/>
    <col customWidth="1" min="3" max="3" width="7.86"/>
    <col customWidth="1" min="4" max="4" width="12.14"/>
    <col customWidth="1" min="5" max="5" width="15.14"/>
    <col customWidth="1" min="6" max="6" width="16.0"/>
    <col customWidth="1" min="7" max="21" width="8.29"/>
  </cols>
  <sheetData>
    <row r="1" ht="15.0" customHeight="1">
      <c r="A1" s="48" t="s">
        <v>29</v>
      </c>
      <c r="B1" s="143" t="s">
        <v>115</v>
      </c>
      <c r="C1" s="143" t="s">
        <v>137</v>
      </c>
      <c r="D1" s="143" t="s">
        <v>31</v>
      </c>
      <c r="E1" s="143" t="s">
        <v>138</v>
      </c>
      <c r="F1" s="143" t="s">
        <v>139</v>
      </c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</row>
    <row r="2" ht="19.5" customHeight="1">
      <c r="A2" s="156" t="s">
        <v>41</v>
      </c>
      <c r="B2" s="157" t="s">
        <v>56</v>
      </c>
      <c r="C2" s="158">
        <v>0.005</v>
      </c>
      <c r="D2" s="159">
        <v>4152.41</v>
      </c>
      <c r="E2" s="160">
        <v>141.6</v>
      </c>
      <c r="F2" s="158">
        <v>0.0353</v>
      </c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ht="19.5" customHeight="1">
      <c r="A3" s="161" t="s">
        <v>43</v>
      </c>
      <c r="B3" s="157" t="s">
        <v>48</v>
      </c>
      <c r="C3" s="158">
        <v>0.0098</v>
      </c>
      <c r="D3" s="159">
        <v>8092.34</v>
      </c>
      <c r="E3" s="160">
        <v>92.4</v>
      </c>
      <c r="F3" s="158">
        <v>0.0115</v>
      </c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</row>
    <row r="4" ht="19.5" customHeight="1">
      <c r="A4" s="162" t="s">
        <v>45</v>
      </c>
      <c r="B4" s="157" t="s">
        <v>56</v>
      </c>
      <c r="C4" s="158">
        <v>0.0045</v>
      </c>
      <c r="D4" s="159">
        <v>3709.31</v>
      </c>
      <c r="E4" s="160">
        <v>-301.53</v>
      </c>
      <c r="F4" s="158">
        <v>-0.0752</v>
      </c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5" ht="19.5" customHeight="1">
      <c r="A5" s="163" t="s">
        <v>47</v>
      </c>
      <c r="B5" s="157" t="s">
        <v>56</v>
      </c>
      <c r="C5" s="158">
        <v>0.0066</v>
      </c>
      <c r="D5" s="159">
        <v>5491.41</v>
      </c>
      <c r="E5" s="160">
        <v>133.51</v>
      </c>
      <c r="F5" s="158">
        <v>0.0249</v>
      </c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</row>
    <row r="6" ht="19.5" customHeight="1">
      <c r="A6" s="163" t="s">
        <v>140</v>
      </c>
      <c r="B6" s="157" t="s">
        <v>52</v>
      </c>
      <c r="C6" s="158">
        <v>0.0072</v>
      </c>
      <c r="D6" s="159">
        <v>5938.59</v>
      </c>
      <c r="E6" s="160">
        <v>-2061.41</v>
      </c>
      <c r="F6" s="158">
        <v>-0.2577</v>
      </c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</row>
    <row r="7" ht="19.5" customHeight="1">
      <c r="A7" s="163" t="s">
        <v>49</v>
      </c>
      <c r="B7" s="157" t="s">
        <v>54</v>
      </c>
      <c r="C7" s="158">
        <v>0.0085</v>
      </c>
      <c r="D7" s="159">
        <v>7039.23</v>
      </c>
      <c r="E7" s="160">
        <v>-960.76</v>
      </c>
      <c r="F7" s="158">
        <v>-0.1201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</row>
    <row r="8" ht="19.5" customHeight="1">
      <c r="A8" s="163" t="s">
        <v>51</v>
      </c>
      <c r="B8" s="157" t="s">
        <v>56</v>
      </c>
      <c r="C8" s="158">
        <v>0.0056</v>
      </c>
      <c r="D8" s="159">
        <v>4660.28</v>
      </c>
      <c r="E8" s="160">
        <v>629.68</v>
      </c>
      <c r="F8" s="158">
        <v>0.1562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</row>
    <row r="9" ht="19.5" customHeight="1">
      <c r="A9" s="163" t="s">
        <v>53</v>
      </c>
      <c r="B9" s="157" t="s">
        <v>46</v>
      </c>
      <c r="C9" s="158">
        <v>0.0118</v>
      </c>
      <c r="D9" s="159">
        <v>9793.26</v>
      </c>
      <c r="E9" s="160">
        <v>1693.27</v>
      </c>
      <c r="F9" s="158">
        <v>0.209</v>
      </c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</row>
    <row r="10" ht="19.5" customHeight="1">
      <c r="A10" s="163" t="s">
        <v>55</v>
      </c>
      <c r="B10" s="157" t="s">
        <v>46</v>
      </c>
      <c r="C10" s="158">
        <v>0.01</v>
      </c>
      <c r="D10" s="159">
        <v>8309.97</v>
      </c>
      <c r="E10" s="160">
        <v>309.98</v>
      </c>
      <c r="F10" s="158">
        <v>0.0387</v>
      </c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</row>
    <row r="11" ht="19.5" customHeight="1">
      <c r="A11" s="163" t="s">
        <v>57</v>
      </c>
      <c r="B11" s="157" t="s">
        <v>52</v>
      </c>
      <c r="C11" s="158">
        <v>0.0053</v>
      </c>
      <c r="D11" s="159">
        <v>4358.47</v>
      </c>
      <c r="E11" s="160">
        <v>-120.68</v>
      </c>
      <c r="F11" s="158">
        <v>-0.027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</row>
    <row r="12" ht="19.5" customHeight="1">
      <c r="A12" s="163" t="s">
        <v>59</v>
      </c>
      <c r="B12" s="157" t="s">
        <v>44</v>
      </c>
      <c r="C12" s="158">
        <v>0.0056</v>
      </c>
      <c r="D12" s="159">
        <v>4671.9</v>
      </c>
      <c r="E12" s="160">
        <v>-35.1</v>
      </c>
      <c r="F12" s="158">
        <v>-0.0075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</row>
    <row r="13" ht="19.5" customHeight="1">
      <c r="A13" s="163" t="s">
        <v>61</v>
      </c>
      <c r="B13" s="157" t="s">
        <v>44</v>
      </c>
      <c r="C13" s="158">
        <v>0.0031</v>
      </c>
      <c r="D13" s="159">
        <v>2578.95</v>
      </c>
      <c r="E13" s="160">
        <v>732.22</v>
      </c>
      <c r="F13" s="158">
        <v>0.3965</v>
      </c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</row>
    <row r="14" ht="19.5" customHeight="1">
      <c r="A14" s="163" t="s">
        <v>61</v>
      </c>
      <c r="B14" s="157" t="s">
        <v>120</v>
      </c>
      <c r="C14" s="158">
        <v>0.005</v>
      </c>
      <c r="D14" s="159">
        <v>4159.59</v>
      </c>
      <c r="E14" s="160">
        <v>1181.01</v>
      </c>
      <c r="F14" s="158">
        <v>0.3965</v>
      </c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</row>
    <row r="15" ht="19.5" customHeight="1">
      <c r="A15" s="163" t="s">
        <v>62</v>
      </c>
      <c r="B15" s="157" t="s">
        <v>50</v>
      </c>
      <c r="C15" s="158">
        <v>0.0114</v>
      </c>
      <c r="D15" s="159">
        <v>9456.07</v>
      </c>
      <c r="E15" s="160">
        <v>1456.12</v>
      </c>
      <c r="F15" s="158">
        <v>0.182</v>
      </c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</row>
    <row r="16" ht="19.5" customHeight="1">
      <c r="A16" s="163" t="s">
        <v>63</v>
      </c>
      <c r="B16" s="157" t="s">
        <v>46</v>
      </c>
      <c r="C16" s="158">
        <v>0.014</v>
      </c>
      <c r="D16" s="159">
        <v>11626.45</v>
      </c>
      <c r="E16" s="160">
        <v>3626.5</v>
      </c>
      <c r="F16" s="158">
        <v>0.4533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</row>
    <row r="17" ht="19.5" customHeight="1">
      <c r="A17" s="163" t="s">
        <v>64</v>
      </c>
      <c r="B17" s="157" t="s">
        <v>58</v>
      </c>
      <c r="C17" s="158">
        <v>0.0112</v>
      </c>
      <c r="D17" s="159">
        <v>9295.91</v>
      </c>
      <c r="E17" s="160">
        <v>1296.02</v>
      </c>
      <c r="F17" s="158">
        <v>0.162</v>
      </c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</row>
    <row r="18" ht="19.5" customHeight="1">
      <c r="A18" s="163" t="s">
        <v>65</v>
      </c>
      <c r="B18" s="157" t="s">
        <v>44</v>
      </c>
      <c r="C18" s="158">
        <v>0.0024</v>
      </c>
      <c r="D18" s="159">
        <v>1980.27</v>
      </c>
      <c r="E18" s="160">
        <v>-492.5</v>
      </c>
      <c r="F18" s="158">
        <v>-0.1992</v>
      </c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</row>
    <row r="19" ht="19.5" customHeight="1">
      <c r="A19" s="163" t="s">
        <v>65</v>
      </c>
      <c r="B19" s="157" t="s">
        <v>120</v>
      </c>
      <c r="C19" s="158">
        <v>0.0022</v>
      </c>
      <c r="D19" s="159">
        <v>1839.56</v>
      </c>
      <c r="E19" s="160">
        <v>-492.5</v>
      </c>
      <c r="F19" s="158">
        <v>-0.2112</v>
      </c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</row>
    <row r="20" ht="19.5" customHeight="1">
      <c r="A20" s="163" t="s">
        <v>66</v>
      </c>
      <c r="B20" s="157" t="s">
        <v>58</v>
      </c>
      <c r="C20" s="158">
        <v>0.014</v>
      </c>
      <c r="D20" s="159">
        <v>11598.44</v>
      </c>
      <c r="E20" s="160">
        <v>3598.48</v>
      </c>
      <c r="F20" s="158">
        <v>0.4498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</row>
    <row r="21" ht="19.5" customHeight="1">
      <c r="A21" s="163" t="s">
        <v>67</v>
      </c>
      <c r="B21" s="157" t="s">
        <v>46</v>
      </c>
      <c r="C21" s="158">
        <v>0.0102</v>
      </c>
      <c r="D21" s="159">
        <v>8409.26</v>
      </c>
      <c r="E21" s="160">
        <v>409.27</v>
      </c>
      <c r="F21" s="158">
        <v>0.0511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</row>
    <row r="22" ht="19.5" customHeight="1">
      <c r="A22" s="163" t="s">
        <v>68</v>
      </c>
      <c r="B22" s="157" t="s">
        <v>119</v>
      </c>
      <c r="C22" s="158">
        <v>0.0049</v>
      </c>
      <c r="D22" s="159">
        <v>4036.42</v>
      </c>
      <c r="E22" s="160">
        <v>26.36</v>
      </c>
      <c r="F22" s="158">
        <v>0.0066</v>
      </c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</row>
    <row r="23" ht="19.5" customHeight="1">
      <c r="A23" s="163" t="s">
        <v>68</v>
      </c>
      <c r="B23" s="157" t="s">
        <v>48</v>
      </c>
      <c r="C23" s="158">
        <v>0.0049</v>
      </c>
      <c r="D23" s="159">
        <v>4016.26</v>
      </c>
      <c r="E23" s="160">
        <v>26.36</v>
      </c>
      <c r="F23" s="158">
        <v>0.0066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</row>
    <row r="24" ht="19.5" customHeight="1">
      <c r="A24" s="163" t="s">
        <v>141</v>
      </c>
      <c r="B24" s="157" t="s">
        <v>142</v>
      </c>
      <c r="C24" s="158">
        <v>0.0133</v>
      </c>
      <c r="D24" s="159">
        <v>11053.47</v>
      </c>
      <c r="E24" s="160">
        <v>-3942.35</v>
      </c>
      <c r="F24" s="158">
        <v>-0.2629</v>
      </c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</row>
    <row r="25" ht="19.5" customHeight="1">
      <c r="A25" s="163" t="s">
        <v>69</v>
      </c>
      <c r="B25" s="157" t="s">
        <v>46</v>
      </c>
      <c r="C25" s="158">
        <v>0.0107</v>
      </c>
      <c r="D25" s="159">
        <v>8881.82</v>
      </c>
      <c r="E25" s="160">
        <v>881.89</v>
      </c>
      <c r="F25" s="158">
        <v>0.1102</v>
      </c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</row>
    <row r="26" ht="19.5" customHeight="1">
      <c r="A26" s="163" t="s">
        <v>70</v>
      </c>
      <c r="B26" s="157" t="s">
        <v>56</v>
      </c>
      <c r="C26" s="158">
        <v>0.0057</v>
      </c>
      <c r="D26" s="159">
        <v>4721.09</v>
      </c>
      <c r="E26" s="160">
        <v>321.16</v>
      </c>
      <c r="F26" s="158">
        <v>0.0729</v>
      </c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</row>
    <row r="27" ht="19.5" customHeight="1">
      <c r="A27" s="163" t="s">
        <v>71</v>
      </c>
      <c r="B27" s="157" t="s">
        <v>56</v>
      </c>
      <c r="C27" s="158">
        <v>0.0076</v>
      </c>
      <c r="D27" s="159">
        <v>6275.54</v>
      </c>
      <c r="E27" s="160">
        <v>947.54</v>
      </c>
      <c r="F27" s="158">
        <v>0.1778</v>
      </c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</row>
    <row r="28" ht="19.5" customHeight="1">
      <c r="A28" s="163" t="s">
        <v>72</v>
      </c>
      <c r="B28" s="157" t="s">
        <v>46</v>
      </c>
      <c r="C28" s="158">
        <v>0.0125</v>
      </c>
      <c r="D28" s="159">
        <v>10315.37</v>
      </c>
      <c r="E28" s="160">
        <v>2315.97</v>
      </c>
      <c r="F28" s="158">
        <v>0.2895</v>
      </c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</row>
    <row r="29" ht="19.5" customHeight="1">
      <c r="A29" s="163" t="s">
        <v>73</v>
      </c>
      <c r="B29" s="157" t="s">
        <v>50</v>
      </c>
      <c r="C29" s="158">
        <v>0.0103</v>
      </c>
      <c r="D29" s="159">
        <v>8500.19</v>
      </c>
      <c r="E29" s="160">
        <v>500.22</v>
      </c>
      <c r="F29" s="158">
        <v>0.0625</v>
      </c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</row>
    <row r="30" ht="19.5" customHeight="1">
      <c r="A30" s="163" t="s">
        <v>74</v>
      </c>
      <c r="B30" s="157" t="s">
        <v>48</v>
      </c>
      <c r="C30" s="158">
        <v>0.0079</v>
      </c>
      <c r="D30" s="159">
        <v>6554.37</v>
      </c>
      <c r="E30" s="160">
        <v>-1445.54</v>
      </c>
      <c r="F30" s="158">
        <v>-0.1807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</row>
    <row r="31" ht="19.5" customHeight="1">
      <c r="A31" s="163" t="s">
        <v>74</v>
      </c>
      <c r="B31" s="157" t="s">
        <v>56</v>
      </c>
      <c r="C31" s="158">
        <v>0.0026</v>
      </c>
      <c r="D31" s="159">
        <v>2130.0</v>
      </c>
      <c r="E31" s="160">
        <v>-469.76</v>
      </c>
      <c r="F31" s="158">
        <v>-0.1807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</row>
    <row r="32" ht="19.5" customHeight="1">
      <c r="A32" s="163" t="s">
        <v>75</v>
      </c>
      <c r="B32" s="157" t="s">
        <v>52</v>
      </c>
      <c r="C32" s="158">
        <v>0.0087</v>
      </c>
      <c r="D32" s="159">
        <v>7244.53</v>
      </c>
      <c r="E32" s="160">
        <v>-755.44</v>
      </c>
      <c r="F32" s="158">
        <v>-0.0945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</row>
    <row r="33" ht="19.5" customHeight="1">
      <c r="A33" s="163" t="s">
        <v>143</v>
      </c>
      <c r="B33" s="157" t="s">
        <v>142</v>
      </c>
      <c r="C33" s="158">
        <v>0.0131</v>
      </c>
      <c r="D33" s="159">
        <v>10869.38</v>
      </c>
      <c r="E33" s="160">
        <v>-4424.6</v>
      </c>
      <c r="F33" s="158">
        <v>-0.2894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</row>
    <row r="34" ht="19.5" customHeight="1">
      <c r="A34" s="163" t="s">
        <v>76</v>
      </c>
      <c r="B34" s="157" t="s">
        <v>50</v>
      </c>
      <c r="C34" s="158">
        <v>0.0107</v>
      </c>
      <c r="D34" s="159">
        <v>8838.41</v>
      </c>
      <c r="E34" s="160">
        <v>838.69</v>
      </c>
      <c r="F34" s="158">
        <v>0.1048</v>
      </c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</row>
    <row r="35" ht="19.5" customHeight="1">
      <c r="A35" s="163" t="s">
        <v>77</v>
      </c>
      <c r="B35" s="157" t="s">
        <v>44</v>
      </c>
      <c r="C35" s="158">
        <v>0.0055</v>
      </c>
      <c r="D35" s="159">
        <v>4590.3</v>
      </c>
      <c r="E35" s="160">
        <v>-133.05</v>
      </c>
      <c r="F35" s="158">
        <v>-0.0282</v>
      </c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</row>
    <row r="36" ht="19.5" customHeight="1">
      <c r="A36" s="163" t="s">
        <v>78</v>
      </c>
      <c r="B36" s="157" t="s">
        <v>48</v>
      </c>
      <c r="C36" s="158">
        <v>0.0102</v>
      </c>
      <c r="D36" s="159">
        <v>8474.41</v>
      </c>
      <c r="E36" s="160">
        <v>474.43</v>
      </c>
      <c r="F36" s="158">
        <v>0.0593</v>
      </c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</row>
    <row r="37" ht="19.5" customHeight="1">
      <c r="A37" s="163" t="s">
        <v>79</v>
      </c>
      <c r="B37" s="157" t="s">
        <v>44</v>
      </c>
      <c r="C37" s="158">
        <v>0.0058</v>
      </c>
      <c r="D37" s="159">
        <v>4813.08</v>
      </c>
      <c r="E37" s="160">
        <v>4.62</v>
      </c>
      <c r="F37" s="158">
        <v>9.0E-4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</row>
    <row r="38" ht="19.5" customHeight="1">
      <c r="A38" s="163" t="s">
        <v>144</v>
      </c>
      <c r="B38" s="157" t="s">
        <v>52</v>
      </c>
      <c r="C38" s="158">
        <v>0.0014</v>
      </c>
      <c r="D38" s="159">
        <v>1166.42</v>
      </c>
      <c r="E38" s="160">
        <v>-833.45</v>
      </c>
      <c r="F38" s="158">
        <v>-0.4168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</row>
    <row r="39" ht="19.5" customHeight="1">
      <c r="A39" s="163" t="s">
        <v>80</v>
      </c>
      <c r="B39" s="157" t="s">
        <v>54</v>
      </c>
      <c r="C39" s="158">
        <v>0.0092</v>
      </c>
      <c r="D39" s="159">
        <v>7580.9</v>
      </c>
      <c r="E39" s="160">
        <v>-453.65</v>
      </c>
      <c r="F39" s="158">
        <v>-0.0565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</row>
    <row r="40" ht="19.5" customHeight="1">
      <c r="A40" s="163" t="s">
        <v>81</v>
      </c>
      <c r="B40" s="157" t="s">
        <v>44</v>
      </c>
      <c r="C40" s="158">
        <v>0.0109</v>
      </c>
      <c r="D40" s="159">
        <v>9003.84</v>
      </c>
      <c r="E40" s="160">
        <v>4372.64</v>
      </c>
      <c r="F40" s="158">
        <v>0.9441</v>
      </c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</row>
    <row r="41" ht="19.5" customHeight="1">
      <c r="A41" s="163" t="s">
        <v>82</v>
      </c>
      <c r="B41" s="157" t="s">
        <v>56</v>
      </c>
      <c r="C41" s="158">
        <v>0.0051</v>
      </c>
      <c r="D41" s="159">
        <v>4187.04</v>
      </c>
      <c r="E41" s="160">
        <v>177.92</v>
      </c>
      <c r="F41" s="158">
        <v>0.0443</v>
      </c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</row>
    <row r="42" ht="19.5" customHeight="1">
      <c r="A42" s="163" t="s">
        <v>83</v>
      </c>
      <c r="B42" s="157" t="s">
        <v>48</v>
      </c>
      <c r="C42" s="158">
        <v>0.0111</v>
      </c>
      <c r="D42" s="159">
        <v>9166.84</v>
      </c>
      <c r="E42" s="160">
        <v>1166.89</v>
      </c>
      <c r="F42" s="158">
        <v>0.1458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</row>
    <row r="43" ht="19.5" customHeight="1">
      <c r="A43" s="163" t="s">
        <v>84</v>
      </c>
      <c r="B43" s="157" t="s">
        <v>52</v>
      </c>
      <c r="C43" s="158">
        <v>0.0092</v>
      </c>
      <c r="D43" s="159">
        <v>7643.21</v>
      </c>
      <c r="E43" s="160">
        <v>-356.39</v>
      </c>
      <c r="F43" s="158">
        <v>-0.0446</v>
      </c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</row>
    <row r="44" ht="19.5" customHeight="1">
      <c r="A44" s="163" t="s">
        <v>85</v>
      </c>
      <c r="B44" s="157" t="s">
        <v>48</v>
      </c>
      <c r="C44" s="158">
        <v>0.0115</v>
      </c>
      <c r="D44" s="159">
        <v>9521.76</v>
      </c>
      <c r="E44" s="160">
        <v>1521.84</v>
      </c>
      <c r="F44" s="158">
        <v>0.1902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</row>
    <row r="45" ht="19.5" customHeight="1">
      <c r="A45" s="163" t="s">
        <v>86</v>
      </c>
      <c r="B45" s="157" t="s">
        <v>56</v>
      </c>
      <c r="C45" s="158">
        <v>0.0048</v>
      </c>
      <c r="D45" s="159">
        <v>3959.7</v>
      </c>
      <c r="E45" s="160">
        <v>-49.2</v>
      </c>
      <c r="F45" s="158">
        <v>-0.0123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</row>
    <row r="46" ht="19.5" customHeight="1">
      <c r="A46" s="163" t="s">
        <v>145</v>
      </c>
      <c r="B46" s="157" t="s">
        <v>142</v>
      </c>
      <c r="C46" s="158">
        <v>0.0093</v>
      </c>
      <c r="D46" s="159">
        <v>7715.64</v>
      </c>
      <c r="E46" s="160">
        <v>-299.68</v>
      </c>
      <c r="F46" s="158">
        <v>-0.0374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</row>
    <row r="47" ht="19.5" customHeight="1">
      <c r="A47" s="163" t="s">
        <v>87</v>
      </c>
      <c r="B47" s="157" t="s">
        <v>52</v>
      </c>
      <c r="C47" s="158">
        <v>0.0081</v>
      </c>
      <c r="D47" s="159">
        <v>6722.25</v>
      </c>
      <c r="E47" s="160">
        <v>-1277.75</v>
      </c>
      <c r="F47" s="158">
        <v>-0.1598</v>
      </c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</row>
    <row r="48" ht="19.5" customHeight="1">
      <c r="A48" s="163" t="s">
        <v>88</v>
      </c>
      <c r="B48" s="157" t="s">
        <v>48</v>
      </c>
      <c r="C48" s="158">
        <v>0.0119</v>
      </c>
      <c r="D48" s="159">
        <v>9851.01</v>
      </c>
      <c r="E48" s="160">
        <v>1851.05</v>
      </c>
      <c r="F48" s="158">
        <v>0.2313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</row>
    <row r="49" ht="19.5" customHeight="1">
      <c r="A49" s="163" t="s">
        <v>89</v>
      </c>
      <c r="B49" s="157" t="s">
        <v>54</v>
      </c>
      <c r="C49" s="158">
        <v>0.0123</v>
      </c>
      <c r="D49" s="159">
        <v>10158.72</v>
      </c>
      <c r="E49" s="160">
        <v>2074.38</v>
      </c>
      <c r="F49" s="158">
        <v>0.2565</v>
      </c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</row>
    <row r="50" ht="19.5" customHeight="1">
      <c r="A50" s="163" t="s">
        <v>90</v>
      </c>
      <c r="B50" s="157" t="s">
        <v>44</v>
      </c>
      <c r="C50" s="158">
        <v>0.0062</v>
      </c>
      <c r="D50" s="159">
        <v>5096.52</v>
      </c>
      <c r="E50" s="160">
        <v>257.35</v>
      </c>
      <c r="F50" s="158">
        <v>0.0531</v>
      </c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</row>
    <row r="51" ht="19.5" customHeight="1">
      <c r="A51" s="163" t="s">
        <v>91</v>
      </c>
      <c r="B51" s="157" t="s">
        <v>48</v>
      </c>
      <c r="C51" s="158">
        <v>0.0111</v>
      </c>
      <c r="D51" s="159">
        <v>9205.88</v>
      </c>
      <c r="E51" s="160">
        <v>1205.88</v>
      </c>
      <c r="F51" s="158">
        <v>0.1507</v>
      </c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</row>
    <row r="52" ht="19.5" customHeight="1">
      <c r="A52" s="163" t="s">
        <v>92</v>
      </c>
      <c r="B52" s="157" t="s">
        <v>46</v>
      </c>
      <c r="C52" s="158">
        <v>0.011</v>
      </c>
      <c r="D52" s="159">
        <v>9138.27</v>
      </c>
      <c r="E52" s="160">
        <v>1138.29</v>
      </c>
      <c r="F52" s="158">
        <v>0.1422</v>
      </c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ht="19.5" customHeight="1">
      <c r="A53" s="163" t="s">
        <v>93</v>
      </c>
      <c r="B53" s="157" t="s">
        <v>44</v>
      </c>
      <c r="C53" s="158">
        <v>0.006</v>
      </c>
      <c r="D53" s="159">
        <v>4935.87</v>
      </c>
      <c r="E53" s="160">
        <v>79.46</v>
      </c>
      <c r="F53" s="158">
        <v>0.0163</v>
      </c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</row>
    <row r="54" ht="19.5" customHeight="1">
      <c r="A54" s="163" t="s">
        <v>94</v>
      </c>
      <c r="B54" s="157" t="s">
        <v>54</v>
      </c>
      <c r="C54" s="158">
        <v>0.0104</v>
      </c>
      <c r="D54" s="159">
        <v>8595.52</v>
      </c>
      <c r="E54" s="160">
        <v>446.26</v>
      </c>
      <c r="F54" s="158">
        <v>0.0547</v>
      </c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</row>
    <row r="55" ht="19.5" customHeight="1">
      <c r="A55" s="163" t="s">
        <v>95</v>
      </c>
      <c r="B55" s="157" t="s">
        <v>58</v>
      </c>
      <c r="C55" s="158">
        <v>0.0092</v>
      </c>
      <c r="D55" s="159">
        <v>7627.4</v>
      </c>
      <c r="E55" s="160">
        <v>-372.6</v>
      </c>
      <c r="F55" s="158">
        <v>-0.0466</v>
      </c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</row>
    <row r="56" ht="19.5" customHeight="1">
      <c r="A56" s="163" t="s">
        <v>96</v>
      </c>
      <c r="B56" s="157" t="s">
        <v>58</v>
      </c>
      <c r="C56" s="158">
        <v>0.0099</v>
      </c>
      <c r="D56" s="159">
        <v>8227.29</v>
      </c>
      <c r="E56" s="160">
        <v>227.3</v>
      </c>
      <c r="F56" s="158">
        <v>0.0284</v>
      </c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</row>
    <row r="57" ht="19.5" customHeight="1">
      <c r="A57" s="163" t="s">
        <v>97</v>
      </c>
      <c r="B57" s="157" t="s">
        <v>46</v>
      </c>
      <c r="C57" s="158">
        <v>0.0109</v>
      </c>
      <c r="D57" s="159">
        <v>9004.21</v>
      </c>
      <c r="E57" s="160">
        <v>1004.34</v>
      </c>
      <c r="F57" s="158">
        <v>0.1255</v>
      </c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</row>
    <row r="58" ht="19.5" customHeight="1">
      <c r="A58" s="163" t="s">
        <v>98</v>
      </c>
      <c r="B58" s="157" t="s">
        <v>48</v>
      </c>
      <c r="C58" s="158">
        <v>0.0119</v>
      </c>
      <c r="D58" s="159">
        <v>9825.77</v>
      </c>
      <c r="E58" s="160">
        <v>1825.82</v>
      </c>
      <c r="F58" s="158">
        <v>0.2282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</row>
    <row r="59" ht="19.5" customHeight="1">
      <c r="A59" s="163" t="s">
        <v>99</v>
      </c>
      <c r="B59" s="157" t="s">
        <v>58</v>
      </c>
      <c r="C59" s="158">
        <v>0.0103</v>
      </c>
      <c r="D59" s="159">
        <v>8554.1</v>
      </c>
      <c r="E59" s="160">
        <v>554.22</v>
      </c>
      <c r="F59" s="158">
        <v>0.0692</v>
      </c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</row>
    <row r="60" ht="19.5" customHeight="1">
      <c r="A60" s="163" t="s">
        <v>100</v>
      </c>
      <c r="B60" s="157" t="s">
        <v>54</v>
      </c>
      <c r="C60" s="158">
        <v>0.0114</v>
      </c>
      <c r="D60" s="159">
        <v>9402.82</v>
      </c>
      <c r="E60" s="160">
        <v>1312.24</v>
      </c>
      <c r="F60" s="158">
        <v>0.1621</v>
      </c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</row>
    <row r="61" ht="19.5" customHeight="1">
      <c r="A61" s="163" t="s">
        <v>146</v>
      </c>
      <c r="B61" s="157" t="s">
        <v>142</v>
      </c>
      <c r="C61" s="158">
        <v>0.0154</v>
      </c>
      <c r="D61" s="159">
        <v>12717.03</v>
      </c>
      <c r="E61" s="160">
        <v>-2268.02</v>
      </c>
      <c r="F61" s="158">
        <v>-0.1514</v>
      </c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</row>
    <row r="62" ht="19.5" customHeight="1">
      <c r="A62" s="163" t="s">
        <v>101</v>
      </c>
      <c r="B62" s="157" t="s">
        <v>56</v>
      </c>
      <c r="C62" s="158">
        <v>0.005</v>
      </c>
      <c r="D62" s="159">
        <v>4165.64</v>
      </c>
      <c r="E62" s="160">
        <v>151.99</v>
      </c>
      <c r="F62" s="158">
        <v>0.0378</v>
      </c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</row>
    <row r="63" ht="19.5" customHeight="1">
      <c r="A63" s="163" t="s">
        <v>102</v>
      </c>
      <c r="B63" s="157" t="s">
        <v>48</v>
      </c>
      <c r="C63" s="158">
        <v>0.0101</v>
      </c>
      <c r="D63" s="159">
        <v>8382.05</v>
      </c>
      <c r="E63" s="160">
        <v>382.15</v>
      </c>
      <c r="F63" s="158">
        <v>0.0477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</row>
    <row r="64" ht="19.5" customHeight="1">
      <c r="A64" s="163" t="s">
        <v>103</v>
      </c>
      <c r="B64" s="157" t="s">
        <v>56</v>
      </c>
      <c r="C64" s="158">
        <v>0.0067</v>
      </c>
      <c r="D64" s="159">
        <v>5539.19</v>
      </c>
      <c r="E64" s="160">
        <v>210.26</v>
      </c>
      <c r="F64" s="158">
        <v>0.0394</v>
      </c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</row>
    <row r="65" ht="19.5" customHeight="1">
      <c r="A65" s="163" t="s">
        <v>104</v>
      </c>
      <c r="B65" s="157" t="s">
        <v>52</v>
      </c>
      <c r="C65" s="158">
        <v>0.0075</v>
      </c>
      <c r="D65" s="159">
        <v>6243.64</v>
      </c>
      <c r="E65" s="160">
        <v>-1756.34</v>
      </c>
      <c r="F65" s="158">
        <v>-0.2196</v>
      </c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</row>
    <row r="66" ht="19.5" customHeight="1">
      <c r="A66" s="163" t="s">
        <v>105</v>
      </c>
      <c r="B66" s="157" t="s">
        <v>44</v>
      </c>
      <c r="C66" s="158">
        <v>0.0055</v>
      </c>
      <c r="D66" s="159">
        <v>4591.84</v>
      </c>
      <c r="E66" s="160">
        <v>-229.22</v>
      </c>
      <c r="F66" s="158">
        <v>-0.0476</v>
      </c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</row>
    <row r="67" ht="19.5" customHeight="1">
      <c r="A67" s="163" t="s">
        <v>106</v>
      </c>
      <c r="B67" s="157" t="s">
        <v>44</v>
      </c>
      <c r="C67" s="158">
        <v>0.0075</v>
      </c>
      <c r="D67" s="159">
        <v>6228.12</v>
      </c>
      <c r="E67" s="160">
        <v>1332.84</v>
      </c>
      <c r="F67" s="158">
        <v>0.2722</v>
      </c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</row>
    <row r="68" ht="19.5" customHeight="1">
      <c r="A68" s="163" t="s">
        <v>107</v>
      </c>
      <c r="B68" s="157" t="s">
        <v>58</v>
      </c>
      <c r="C68" s="158">
        <v>0.0106</v>
      </c>
      <c r="D68" s="159">
        <v>8757.77</v>
      </c>
      <c r="E68" s="160">
        <v>757.77</v>
      </c>
      <c r="F68" s="158">
        <v>0.0947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</row>
    <row r="69" ht="19.5" customHeight="1">
      <c r="A69" s="163" t="s">
        <v>108</v>
      </c>
      <c r="B69" s="157" t="s">
        <v>52</v>
      </c>
      <c r="C69" s="158">
        <v>0.0093</v>
      </c>
      <c r="D69" s="159">
        <v>7740.5</v>
      </c>
      <c r="E69" s="160">
        <v>-259.27</v>
      </c>
      <c r="F69" s="158">
        <v>-0.0325</v>
      </c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</row>
    <row r="70" ht="19.5" customHeight="1">
      <c r="A70" s="163" t="s">
        <v>109</v>
      </c>
      <c r="B70" s="157" t="s">
        <v>46</v>
      </c>
      <c r="C70" s="158">
        <v>0.0123</v>
      </c>
      <c r="D70" s="159">
        <v>10187.51</v>
      </c>
      <c r="E70" s="160">
        <v>2187.59</v>
      </c>
      <c r="F70" s="158">
        <v>0.2734</v>
      </c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</row>
    <row r="71" ht="19.5" customHeight="1">
      <c r="A71" s="163" t="s">
        <v>110</v>
      </c>
      <c r="B71" s="157" t="s">
        <v>56</v>
      </c>
      <c r="C71" s="158">
        <v>0.0068</v>
      </c>
      <c r="D71" s="159">
        <v>5634.36</v>
      </c>
      <c r="E71" s="160">
        <v>296.8</v>
      </c>
      <c r="F71" s="158">
        <v>0.0556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</row>
    <row r="72" ht="19.5" customHeight="1">
      <c r="A72" s="163" t="s">
        <v>111</v>
      </c>
      <c r="B72" s="157" t="s">
        <v>56</v>
      </c>
      <c r="C72" s="158">
        <v>0.0068</v>
      </c>
      <c r="D72" s="159">
        <v>5639.49</v>
      </c>
      <c r="E72" s="160">
        <v>141.43</v>
      </c>
      <c r="F72" s="158">
        <v>0.0257</v>
      </c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</row>
    <row r="73" ht="19.5" customHeight="1">
      <c r="A73" s="163" t="s">
        <v>112</v>
      </c>
      <c r="B73" s="157" t="s">
        <v>58</v>
      </c>
      <c r="C73" s="158">
        <v>0.0108</v>
      </c>
      <c r="D73" s="159">
        <v>8972.5</v>
      </c>
      <c r="E73" s="160">
        <v>972.56</v>
      </c>
      <c r="F73" s="158">
        <v>0.1215</v>
      </c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</row>
    <row r="74" ht="19.5" customHeight="1">
      <c r="A74" s="163" t="s">
        <v>113</v>
      </c>
      <c r="B74" s="157" t="s">
        <v>46</v>
      </c>
      <c r="C74" s="158">
        <v>0.0089</v>
      </c>
      <c r="D74" s="159">
        <v>7360.3</v>
      </c>
      <c r="E74" s="160">
        <v>-639.62</v>
      </c>
      <c r="F74" s="158">
        <v>-0.08</v>
      </c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</row>
    <row r="75" ht="19.5" customHeight="1">
      <c r="A75" s="163" t="s">
        <v>114</v>
      </c>
      <c r="B75" s="157" t="s">
        <v>52</v>
      </c>
      <c r="C75" s="158">
        <v>0.0076</v>
      </c>
      <c r="D75" s="159">
        <v>6320.66</v>
      </c>
      <c r="E75" s="160">
        <v>-1679.33</v>
      </c>
      <c r="F75" s="158">
        <v>-0.21</v>
      </c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</row>
    <row r="76" ht="19.5" customHeight="1">
      <c r="A76" s="164" t="s">
        <v>40</v>
      </c>
      <c r="B76" s="164" t="s">
        <v>147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</row>
    <row r="77" ht="19.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</row>
    <row r="78" ht="19.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</row>
    <row r="79" ht="19.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</row>
    <row r="80" ht="19.5" customHeight="1">
      <c r="A80" s="74"/>
      <c r="B80" s="74"/>
      <c r="C80" s="74"/>
      <c r="D80" s="74"/>
      <c r="E80" s="165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</row>
    <row r="81" ht="19.5" customHeight="1">
      <c r="A81" s="74"/>
      <c r="B81" s="74"/>
      <c r="C81" s="74"/>
      <c r="D81" s="74"/>
      <c r="E81" s="165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</row>
    <row r="82" ht="19.5" customHeight="1">
      <c r="A82" s="74"/>
      <c r="B82" s="74"/>
      <c r="C82" s="74"/>
      <c r="D82" s="74"/>
      <c r="E82" s="165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</row>
    <row r="83" ht="19.5" customHeight="1">
      <c r="A83" s="74"/>
      <c r="B83" s="74"/>
      <c r="C83" s="74"/>
      <c r="D83" s="74"/>
      <c r="E83" s="165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</row>
    <row r="84" ht="19.5" customHeight="1">
      <c r="A84" s="74"/>
      <c r="B84" s="74"/>
      <c r="C84" s="74"/>
      <c r="D84" s="74"/>
      <c r="E84" s="165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</row>
    <row r="85" ht="19.5" customHeight="1">
      <c r="A85" s="74"/>
      <c r="B85" s="74"/>
      <c r="C85" s="74"/>
      <c r="D85" s="74"/>
      <c r="E85" s="165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</row>
    <row r="86" ht="19.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</row>
    <row r="87" ht="19.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</row>
    <row r="88" ht="19.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</row>
    <row r="89" ht="19.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</row>
    <row r="90" ht="19.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</row>
    <row r="91" ht="19.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</row>
    <row r="92" ht="19.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</row>
    <row r="93" ht="19.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</row>
    <row r="94" ht="19.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</row>
    <row r="95" ht="19.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</row>
    <row r="96" ht="19.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</row>
    <row r="97" ht="19.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</row>
    <row r="98" ht="19.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</row>
    <row r="99" ht="19.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</row>
    <row r="100" ht="19.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</row>
    <row r="101" ht="19.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</row>
    <row r="102" ht="19.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</row>
    <row r="103" ht="19.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</row>
    <row r="104" ht="19.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</row>
    <row r="105" ht="19.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</row>
    <row r="106" ht="19.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</row>
    <row r="107" ht="19.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</row>
    <row r="108" ht="19.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</row>
    <row r="109" ht="19.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</row>
    <row r="110" ht="19.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</row>
    <row r="111" ht="19.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</row>
    <row r="112" ht="19.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</row>
    <row r="113" ht="19.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</row>
    <row r="114" ht="19.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</row>
    <row r="115" ht="19.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</row>
    <row r="116" ht="19.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</row>
    <row r="117" ht="19.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</row>
    <row r="118" ht="19.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</row>
    <row r="119" ht="19.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</row>
    <row r="120" ht="19.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</row>
    <row r="121" ht="19.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</row>
    <row r="122" ht="19.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</row>
    <row r="123" ht="19.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</row>
    <row r="124" ht="19.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</row>
    <row r="125" ht="19.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</row>
    <row r="126" ht="19.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</row>
    <row r="127" ht="19.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</row>
    <row r="128" ht="19.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</row>
    <row r="129" ht="19.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</row>
    <row r="130" ht="19.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</row>
    <row r="131" ht="19.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</row>
    <row r="132" ht="19.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</row>
    <row r="133" ht="19.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</row>
    <row r="134" ht="19.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</row>
    <row r="135" ht="19.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</row>
    <row r="136" ht="19.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</row>
    <row r="137" ht="19.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</row>
    <row r="138" ht="19.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</row>
    <row r="139" ht="19.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</row>
    <row r="140" ht="19.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</row>
    <row r="141" ht="19.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</row>
    <row r="142" ht="19.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</row>
    <row r="143" ht="19.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</row>
    <row r="144" ht="19.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</row>
    <row r="145" ht="19.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</row>
    <row r="146" ht="19.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</row>
    <row r="147" ht="19.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</row>
    <row r="148" ht="19.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</row>
    <row r="149" ht="19.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</row>
    <row r="150" ht="19.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</row>
    <row r="151" ht="19.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</row>
    <row r="152" ht="19.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</row>
    <row r="153" ht="19.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</row>
    <row r="154" ht="19.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</row>
    <row r="155" ht="19.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</row>
    <row r="156" ht="19.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</row>
    <row r="157" ht="19.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</row>
    <row r="158" ht="19.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</row>
    <row r="159" ht="19.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</row>
    <row r="160" ht="19.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</row>
    <row r="161" ht="19.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</row>
    <row r="162" ht="19.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</row>
    <row r="163" ht="19.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</row>
    <row r="164" ht="19.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</row>
    <row r="165" ht="19.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</row>
    <row r="166" ht="19.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</row>
    <row r="167" ht="19.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</row>
    <row r="168" ht="19.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</row>
    <row r="169" ht="19.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</row>
    <row r="170" ht="19.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</row>
    <row r="171" ht="19.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</row>
    <row r="172" ht="19.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</row>
    <row r="173" ht="19.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</row>
    <row r="174" ht="19.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</row>
    <row r="175" ht="19.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</row>
    <row r="176" ht="19.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</row>
    <row r="177" ht="19.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</row>
    <row r="178" ht="19.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</row>
    <row r="179" ht="19.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</row>
    <row r="180" ht="19.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</row>
    <row r="181" ht="19.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</row>
    <row r="182" ht="19.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</row>
    <row r="183" ht="19.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</row>
    <row r="184" ht="19.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</row>
    <row r="185" ht="19.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</row>
    <row r="186" ht="19.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</row>
    <row r="187" ht="19.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</row>
    <row r="188" ht="19.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</row>
    <row r="189" ht="19.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</row>
    <row r="190" ht="19.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</row>
    <row r="191" ht="19.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</row>
    <row r="192" ht="19.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</row>
    <row r="193" ht="19.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</row>
    <row r="194" ht="19.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</row>
    <row r="195" ht="19.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</row>
    <row r="196" ht="19.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</row>
    <row r="197" ht="19.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</row>
    <row r="198" ht="19.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</row>
    <row r="199" ht="19.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</row>
    <row r="200" ht="19.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</row>
    <row r="201" ht="19.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</row>
    <row r="202" ht="19.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</row>
    <row r="203" ht="19.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</row>
    <row r="204" ht="19.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</row>
    <row r="205" ht="19.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</row>
    <row r="206" ht="19.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</row>
    <row r="207" ht="19.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</row>
    <row r="208" ht="19.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</row>
    <row r="209" ht="19.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</row>
    <row r="210" ht="19.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</row>
    <row r="211" ht="19.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</row>
    <row r="212" ht="19.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</row>
    <row r="213" ht="19.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</row>
    <row r="214" ht="19.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</row>
    <row r="215" ht="19.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</row>
    <row r="216" ht="19.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</row>
    <row r="217" ht="19.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</row>
    <row r="218" ht="19.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</row>
    <row r="219" ht="19.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</row>
    <row r="220" ht="19.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</row>
    <row r="221" ht="19.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</row>
    <row r="222" ht="19.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</row>
    <row r="223" ht="19.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</row>
    <row r="224" ht="19.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</row>
    <row r="225" ht="19.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</row>
    <row r="226" ht="19.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</row>
    <row r="227" ht="19.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</row>
    <row r="228" ht="19.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</row>
    <row r="229" ht="19.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</row>
    <row r="230" ht="19.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</row>
    <row r="231" ht="19.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</row>
    <row r="232" ht="19.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</row>
    <row r="233" ht="19.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</row>
    <row r="234" ht="19.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</row>
    <row r="235" ht="19.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</row>
    <row r="236" ht="19.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</row>
    <row r="237" ht="19.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</row>
    <row r="238" ht="19.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</row>
    <row r="239" ht="19.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</row>
    <row r="240" ht="19.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</row>
    <row r="241" ht="19.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</row>
    <row r="242" ht="19.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</row>
    <row r="243" ht="19.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</row>
    <row r="244" ht="19.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</row>
    <row r="245" ht="19.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</row>
    <row r="246" ht="19.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</row>
    <row r="247" ht="19.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</row>
    <row r="248" ht="19.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</row>
    <row r="249" ht="19.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</row>
    <row r="250" ht="19.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</row>
    <row r="251" ht="19.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</row>
    <row r="252" ht="19.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</row>
    <row r="253" ht="19.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</row>
    <row r="254" ht="19.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</row>
    <row r="255" ht="19.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</row>
    <row r="256" ht="19.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</row>
    <row r="257" ht="19.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</row>
    <row r="258" ht="19.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</row>
    <row r="259" ht="19.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</row>
    <row r="260" ht="19.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</row>
    <row r="261" ht="19.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</row>
    <row r="262" ht="19.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</row>
    <row r="263" ht="19.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</row>
    <row r="264" ht="19.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</row>
    <row r="265" ht="19.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</row>
    <row r="266" ht="19.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</row>
    <row r="267" ht="19.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</row>
    <row r="268" ht="19.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</row>
    <row r="269" ht="19.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</row>
    <row r="270" ht="19.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</row>
    <row r="271" ht="19.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</row>
    <row r="272" ht="19.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</row>
    <row r="273" ht="19.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</row>
    <row r="274" ht="19.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</row>
    <row r="275" ht="19.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</row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autoFilter ref="$A$1:$F$76">
    <sortState ref="A1:F76">
      <sortCondition ref="A1:A76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2026-02-22T20:49:38Z</dcterms:created>
  <dc:creator>Vani</dc:creator>
</cp:coreProperties>
</file>